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Flujo 36 me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;(0.0%);-"/>
    <numFmt numFmtId="165" formatCode="$#,##0;($#,##0);-"/>
    <numFmt numFmtId="166" formatCode="#,##0;(#,##0);-"/>
    <numFmt numFmtId="167" formatCode="#,##0.0;(#,##0.0);-"/>
    <numFmt numFmtId="168" formatCode="$#,##0.00;($#,##0.00);-"/>
    <numFmt numFmtId="169" formatCode="0.00&quot;x&quot;"/>
    <numFmt numFmtId="170" formatCode="0.0&quot;x&quot;"/>
    <numFmt numFmtId="171" formatCode="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i val="1"/>
      <color rgb="0059595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49" fontId="3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0" fontId="6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169" fontId="6" fillId="0" borderId="0" pivotButton="0" quotePrefix="0" xfId="0"/>
    <xf numFmtId="170" fontId="4" fillId="0" borderId="0" pivotButton="0" quotePrefix="0" xfId="0"/>
    <xf numFmtId="165" fontId="4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49" fontId="6" fillId="0" borderId="0" pivotButton="0" quotePrefix="0" xfId="0"/>
    <xf numFmtId="0" fontId="8" fillId="0" borderId="0" applyAlignment="1" pivotButton="0" quotePrefix="0" xfId="0">
      <alignment vertical="top" wrapText="1"/>
    </xf>
    <xf numFmtId="0" fontId="4" fillId="2" borderId="0" pivotButton="0" quotePrefix="0" xfId="0"/>
    <xf numFmtId="0" fontId="3" fillId="4" borderId="0" pivotButton="0" quotePrefix="0" xfId="0"/>
    <xf numFmtId="0" fontId="0" fillId="4" borderId="0" pivotButton="0" quotePrefix="0" xfId="0"/>
    <xf numFmtId="166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8" fontId="3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7" fontId="4" fillId="2" borderId="0" pivotButton="0" quotePrefix="0" xfId="0"/>
    <xf numFmtId="166" fontId="4" fillId="0" borderId="0" pivotButton="0" quotePrefix="0" xfId="0"/>
    <xf numFmtId="171" fontId="4" fillId="2" borderId="0" pivotButton="0" quotePrefix="0" xfId="0"/>
    <xf numFmtId="171" fontId="3" fillId="0" borderId="0" pivotButton="0" quotePrefix="0" xfId="0"/>
    <xf numFmtId="167" fontId="4" fillId="0" borderId="0" pivotButton="0" quotePrefix="0" xfId="0"/>
    <xf numFmtId="0" fontId="5" fillId="3" borderId="0" applyAlignment="1" pivotButton="0" quotePrefix="0" xfId="0">
      <alignment horizontal="center"/>
    </xf>
    <xf numFmtId="171" fontId="6" fillId="0" borderId="0" pivotButton="0" quotePrefix="0" xfId="0"/>
    <xf numFmtId="164" fontId="3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169" fontId="6" fillId="0" borderId="0" pivotButton="0" quotePrefix="0" xfId="0"/>
    <xf numFmtId="170" fontId="4" fillId="0" borderId="0" pivotButton="0" quotePrefix="0" xfId="0"/>
    <xf numFmtId="167" fontId="0" fillId="0" borderId="0" applyAlignment="1" pivotButton="0" quotePrefix="0" xfId="0">
      <alignment horizontal="center"/>
    </xf>
    <xf numFmtId="166" fontId="4" fillId="2" borderId="0" pivotButton="0" quotePrefix="0" xfId="0"/>
    <xf numFmtId="168" fontId="4" fillId="2" borderId="0" pivotButton="0" quotePrefix="0" xfId="0"/>
    <xf numFmtId="168" fontId="3" fillId="0" borderId="0" pivotButton="0" quotePrefix="0" xfId="0"/>
    <xf numFmtId="164" fontId="4" fillId="2" borderId="0" pivotButton="0" quotePrefix="0" xfId="0"/>
    <xf numFmtId="164" fontId="4" fillId="0" borderId="0" pivotButton="0" quotePrefix="0" xfId="0"/>
    <xf numFmtId="167" fontId="4" fillId="2" borderId="0" pivotButton="0" quotePrefix="0" xfId="0"/>
    <xf numFmtId="166" fontId="4" fillId="0" borderId="0" pivotButton="0" quotePrefix="0" xfId="0"/>
    <xf numFmtId="171" fontId="4" fillId="2" borderId="0" pivotButton="0" quotePrefix="0" xfId="0"/>
    <xf numFmtId="171" fontId="3" fillId="0" borderId="0" pivotButton="0" quotePrefix="0" xfId="0"/>
    <xf numFmtId="167" fontId="4" fillId="0" borderId="0" pivotButton="0" quotePrefix="0" xfId="0"/>
    <xf numFmtId="17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Resumen financiero — Plan de Asistencia Legal a Cooperativas de Transporte</t>
        </is>
      </c>
    </row>
    <row r="2">
      <c r="A2" s="2" t="inlineStr">
        <is>
          <t>Cambie el escenario en Supuestos!B4. Todos los valores se recalculan.</t>
        </is>
      </c>
    </row>
    <row r="4">
      <c r="A4" s="3" t="inlineStr">
        <is>
          <t>Rentabilidad del proyecto (36 meses, después de impuestos)</t>
        </is>
      </c>
      <c r="B4" s="4" t="n"/>
      <c r="C4" s="4" t="n"/>
    </row>
    <row r="5">
      <c r="A5" s="5" t="inlineStr">
        <is>
          <t>Escenario activo</t>
        </is>
      </c>
      <c r="B5" s="6">
        <f>INDEX(Supuestos!B6:D6,1,Supuestos!B4)</f>
        <v/>
      </c>
      <c r="C5" s="7" t="inlineStr"/>
    </row>
    <row r="6">
      <c r="A6" s="8" t="inlineStr">
        <is>
          <t>TIR mensual</t>
        </is>
      </c>
      <c r="B6" s="9">
        <f>IFERROR(IRR('Flujo 36 meses'!B21:AL21),"No hay TIR (no recupera)")</f>
        <v/>
      </c>
      <c r="C6" s="7" t="inlineStr"/>
    </row>
    <row r="7">
      <c r="A7" s="5" t="inlineStr">
        <is>
          <t>TIR anual equivalente</t>
        </is>
      </c>
      <c r="B7" s="42">
        <f>IFERROR((1+B6)^12-1,"No hay TIR")</f>
        <v/>
      </c>
      <c r="C7" s="7" t="inlineStr">
        <is>
          <t>comparar contra la tasa de descuento</t>
        </is>
      </c>
    </row>
    <row r="8">
      <c r="A8" s="5" t="inlineStr">
        <is>
          <t>VAN al costo de oportunidad</t>
        </is>
      </c>
      <c r="B8" s="11">
        <f>'Flujo 36 meses'!B21+NPV((1+Supuestos!$E$54)^(1/12)-1,'Flujo 36 meses'!C21:AL21)</f>
        <v/>
      </c>
      <c r="C8" s="7" t="inlineStr">
        <is>
          <t>&gt; 0 significa que crea valor</t>
        </is>
      </c>
    </row>
    <row r="9">
      <c r="A9" s="8" t="inlineStr">
        <is>
          <t>Mes de recupero de la inversión</t>
        </is>
      </c>
      <c r="B9" s="43">
        <f>IF(COUNT('Flujo 36 meses'!C23:AL23)=0,"No recupera en 36 meses",MIN('Flujo 36 meses'!C23:AL23))</f>
        <v/>
      </c>
      <c r="C9" s="7" t="inlineStr"/>
    </row>
    <row r="10">
      <c r="A10" s="8" t="inlineStr">
        <is>
          <t>Peor caja acumulada (capital de trabajo necesario)</t>
        </is>
      </c>
      <c r="B10" s="13">
        <f>MIN('Flujo 36 meses'!B22:AL22)</f>
        <v/>
      </c>
      <c r="C10" s="7" t="inlineStr">
        <is>
          <t>plata que hay que tener disponible antes de que el plan se pague solo</t>
        </is>
      </c>
    </row>
    <row r="11">
      <c r="A11" s="8" t="inlineStr">
        <is>
          <t>Flujo acumulado al mes 36</t>
        </is>
      </c>
      <c r="B11" s="13">
        <f>'Flujo 36 meses'!AL22</f>
        <v/>
      </c>
      <c r="C11" s="7" t="inlineStr"/>
    </row>
    <row r="12">
      <c r="A12" s="8" t="inlineStr">
        <is>
          <t>Cooperativas activas al mes 36</t>
        </is>
      </c>
      <c r="B12" s="44">
        <f>'Flujo 36 meses'!AL4</f>
        <v/>
      </c>
      <c r="C12" s="7" t="inlineStr"/>
    </row>
    <row r="13">
      <c r="A13" s="8" t="inlineStr">
        <is>
          <t>Ingreso cobrado mes 36 (cuotas + honorarios por caso)</t>
        </is>
      </c>
      <c r="B13" s="13">
        <f>'Flujo 36 meses'!AL8+'Flujo 36 meses'!AL9</f>
        <v/>
      </c>
      <c r="C13" s="7" t="inlineStr"/>
    </row>
    <row r="14">
      <c r="A14" s="8" t="inlineStr">
        <is>
          <t>Margen operativo mes 36</t>
        </is>
      </c>
      <c r="B14" s="45">
        <f>IFERROR('Flujo 36 meses'!AL19/B13,0)</f>
        <v/>
      </c>
      <c r="C14" s="7" t="inlineStr"/>
    </row>
    <row r="16">
      <c r="A16" s="3" t="inlineStr">
        <is>
          <t>Punto de equilibrio (régimen estable, antes de impuestos)</t>
        </is>
      </c>
      <c r="B16" s="4" t="n"/>
      <c r="C16" s="4" t="n"/>
    </row>
    <row r="17">
      <c r="A17" s="8" t="inlineStr">
        <is>
          <t>Cuotas cobradas por cooperativa (mensual)</t>
        </is>
      </c>
      <c r="B17" s="13">
        <f>(Supuestos!$E$9+Supuestos!$E$8*Supuestos!$E$10)*(1-Supuestos!$E$18*Supuestos!$E$19)*(1-Supuestos!$E$20)</f>
        <v/>
      </c>
      <c r="C17" s="7" t="inlineStr"/>
    </row>
    <row r="18">
      <c r="A18" s="8" t="inlineStr">
        <is>
          <t>Honorarios por siniestro cobrados por cooperativa (mensual)</t>
        </is>
      </c>
      <c r="B18" s="13">
        <f>Supuestos!$E$8*(Supuestos!$E$25*Supuestos!$E$11+Supuestos!$E$26*Supuestos!$E$12+Supuestos!$E$27*Supuestos!$E$13)/12*Supuestos!$E$14</f>
        <v/>
      </c>
      <c r="C18" s="7" t="inlineStr"/>
    </row>
    <row r="19">
      <c r="A19" s="8" t="inlineStr">
        <is>
          <t>Horas de abogado por cooperativa (mensual)</t>
        </is>
      </c>
      <c r="B19" s="44">
        <f>Supuestos!$E$30+Supuestos!$E$8*(Supuestos!$E$25*Supuestos!$E$31+Supuestos!$E$26*Supuestos!$E$32+Supuestos!$E$27*Supuestos!$E$33+Supuestos!$E$28*Supuestos!$E$34)/12</f>
        <v/>
      </c>
      <c r="C19" s="7" t="inlineStr"/>
    </row>
    <row r="20">
      <c r="A20" s="8" t="inlineStr">
        <is>
          <t>Costo por hora de abogado</t>
        </is>
      </c>
      <c r="B20" s="46">
        <f>Supuestos!$E$40/Supuestos!$E$41</f>
        <v/>
      </c>
      <c r="C20" s="7" t="inlineStr"/>
    </row>
    <row r="21">
      <c r="A21" s="8" t="inlineStr">
        <is>
          <t>Costo de abogado por cooperativa (mensual)</t>
        </is>
      </c>
      <c r="B21" s="13">
        <f>B19*B20</f>
        <v/>
      </c>
      <c r="C21" s="7" t="inlineStr"/>
    </row>
    <row r="22">
      <c r="A22" s="8" t="inlineStr">
        <is>
          <t>Gastos directos por cooperativa (mensual)</t>
        </is>
      </c>
      <c r="B22" s="13">
        <f>Supuestos!$E$8*(Supuestos!$E$25*Supuestos!$E$36+Supuestos!$E$26*Supuestos!$E$37+Supuestos!$E$27*Supuestos!$E$38)/12</f>
        <v/>
      </c>
      <c r="C22" s="7" t="inlineStr"/>
    </row>
    <row r="23">
      <c r="A23" s="5" t="inlineStr">
        <is>
          <t>Contribución por cooperativa (mensual)</t>
        </is>
      </c>
      <c r="B23" s="11">
        <f>B17+B18-B21-B22</f>
        <v/>
      </c>
      <c r="C23" s="7" t="inlineStr">
        <is>
          <t>lo que deja cada cooperativa para cubrir fijos</t>
        </is>
      </c>
    </row>
    <row r="24">
      <c r="A24" s="8" t="inlineStr">
        <is>
          <t>Costos fijos (sin abogados)</t>
        </is>
      </c>
      <c r="B24" s="13">
        <f>Supuestos!$E$43+Supuestos!$E$44+Supuestos!$E$45+Supuestos!$E$46+Supuestos!$E$47+Supuestos!$E$48+Supuestos!$E$49+Supuestos!$E$50</f>
        <v/>
      </c>
      <c r="C24" s="7" t="inlineStr"/>
    </row>
    <row r="25">
      <c r="A25" s="5" t="inlineStr">
        <is>
          <t>PUNTO DE EQUILIBRIO — cooperativas</t>
        </is>
      </c>
      <c r="B25" s="47">
        <f>IF(B23&lt;=0,"Nunca: cada cooperativa pierde plata",B24/B23)</f>
        <v/>
      </c>
      <c r="C25" s="7" t="inlineStr"/>
    </row>
    <row r="26">
      <c r="A26" s="5" t="inlineStr">
        <is>
          <t>PUNTO DE EQUILIBRIO — buses</t>
        </is>
      </c>
      <c r="B26" s="48">
        <f>IF(B23&lt;=0,"Nunca",B25*Supuestos!$E$8)</f>
        <v/>
      </c>
      <c r="C26" s="7" t="inlineStr"/>
    </row>
    <row r="27">
      <c r="A27" s="8" t="inlineStr">
        <is>
          <t>Siniestralidad máxima tolerable (multiplicador sobre la supuesta)</t>
        </is>
      </c>
      <c r="B27" s="49">
        <f>IF((B19-Supuestos!$E$30)*B20+B22-B18&lt;=0,"Sin límite: cada siniestro deja margen",(B17-B24/MAX(1,Supuestos!$E$23/2)-Supuestos!$E$30*B20)/((B19-Supuestos!$E$30)*B20+B22-B18))</f>
        <v/>
      </c>
      <c r="C27" s="7" t="inlineStr">
        <is>
          <t>con la mitad del techo de cooperativas: si los siniestros se multiplican por más que esto, se pierde dinero</t>
        </is>
      </c>
    </row>
    <row r="28">
      <c r="A28" s="8" t="inlineStr">
        <is>
          <t>Cuota mínima por bus para equilibrio con 5 cooperativas</t>
        </is>
      </c>
      <c r="B28" s="46">
        <f>MAX(0,((B24/5+B21+B22-B18)/((1-Supuestos!$E$18*Supuestos!$E$19)*(1-Supuestos!$E$20))-Supuestos!$E$9)/Supuestos!$E$8)</f>
        <v/>
      </c>
      <c r="C28" s="7" t="inlineStr">
        <is>
          <t>USD/bus/mes</t>
        </is>
      </c>
    </row>
    <row r="30">
      <c r="A30" s="3" t="inlineStr">
        <is>
          <t>Sensibilidad: punto de equilibrio (cooperativas) según cuota por bus y siniestralidad</t>
        </is>
      </c>
      <c r="B30" s="4" t="n"/>
      <c r="C30" s="4" t="n"/>
    </row>
    <row r="31">
      <c r="A31" s="5" t="inlineStr">
        <is>
          <t>Cuota por bus (USD/mes) ↓   ·   multiplicador de siniestralidad →</t>
        </is>
      </c>
      <c r="B31" s="50" t="n">
        <v>0.5</v>
      </c>
      <c r="C31" s="50" t="n">
        <v>1</v>
      </c>
      <c r="D31" s="50" t="n">
        <v>1.5</v>
      </c>
      <c r="E31" s="50" t="n">
        <v>2</v>
      </c>
      <c r="F31" s="50" t="n">
        <v>3</v>
      </c>
    </row>
    <row r="32">
      <c r="A32" s="21" t="n">
        <v>5</v>
      </c>
      <c r="B32" s="51">
        <f>IF((Supuestos!$E$9+Supuestos!$E$8*$A32)*(1-Supuestos!$E$18*Supuestos!$E$19)*(1-Supuestos!$E$20)-(Supuestos!$E$30*$B$20+B$31*(Supuestos!$E$8*(Supuestos!$E$25*Supuestos!$E$31+Supuestos!$E$26*Supuestos!$E$32+Supuestos!$E$27*Supuestos!$E$33+Supuestos!$E$28*Supuestos!$E$34)/12*$B$20+$B$22-$B$18))&lt;=0,"Pierde",$B$24/((Supuestos!$E$9+Supuestos!$E$8*$A32)*(1-Supuestos!$E$18*Supuestos!$E$19)*(1-Supuestos!$E$20)-(Supuestos!$E$30*$B$20+B$31*(Supuestos!$E$8*(Supuestos!$E$25*Supuestos!$E$31+Supuestos!$E$26*Supuestos!$E$32+Supuestos!$E$27*Supuestos!$E$33+Supuestos!$E$28*Supuestos!$E$34)/12*$B$20+$B$22-$B$18))))</f>
        <v/>
      </c>
      <c r="C32" s="51">
        <f>IF((Supuestos!$E$9+Supuestos!$E$8*$A32)*(1-Supuestos!$E$18*Supuestos!$E$19)*(1-Supuestos!$E$20)-(Supuestos!$E$30*$B$20+C$31*(Supuestos!$E$8*(Supuestos!$E$25*Supuestos!$E$31+Supuestos!$E$26*Supuestos!$E$32+Supuestos!$E$27*Supuestos!$E$33+Supuestos!$E$28*Supuestos!$E$34)/12*$B$20+$B$22-$B$18))&lt;=0,"Pierde",$B$24/((Supuestos!$E$9+Supuestos!$E$8*$A32)*(1-Supuestos!$E$18*Supuestos!$E$19)*(1-Supuestos!$E$20)-(Supuestos!$E$30*$B$20+C$31*(Supuestos!$E$8*(Supuestos!$E$25*Supuestos!$E$31+Supuestos!$E$26*Supuestos!$E$32+Supuestos!$E$27*Supuestos!$E$33+Supuestos!$E$28*Supuestos!$E$34)/12*$B$20+$B$22-$B$18))))</f>
        <v/>
      </c>
      <c r="D32" s="51">
        <f>IF((Supuestos!$E$9+Supuestos!$E$8*$A32)*(1-Supuestos!$E$18*Supuestos!$E$19)*(1-Supuestos!$E$20)-(Supuestos!$E$30*$B$20+D$31*(Supuestos!$E$8*(Supuestos!$E$25*Supuestos!$E$31+Supuestos!$E$26*Supuestos!$E$32+Supuestos!$E$27*Supuestos!$E$33+Supuestos!$E$28*Supuestos!$E$34)/12*$B$20+$B$22-$B$18))&lt;=0,"Pierde",$B$24/((Supuestos!$E$9+Supuestos!$E$8*$A32)*(1-Supuestos!$E$18*Supuestos!$E$19)*(1-Supuestos!$E$20)-(Supuestos!$E$30*$B$20+D$31*(Supuestos!$E$8*(Supuestos!$E$25*Supuestos!$E$31+Supuestos!$E$26*Supuestos!$E$32+Supuestos!$E$27*Supuestos!$E$33+Supuestos!$E$28*Supuestos!$E$34)/12*$B$20+$B$22-$B$18))))</f>
        <v/>
      </c>
      <c r="E32" s="51">
        <f>IF((Supuestos!$E$9+Supuestos!$E$8*$A32)*(1-Supuestos!$E$18*Supuestos!$E$19)*(1-Supuestos!$E$20)-(Supuestos!$E$30*$B$20+E$31*(Supuestos!$E$8*(Supuestos!$E$25*Supuestos!$E$31+Supuestos!$E$26*Supuestos!$E$32+Supuestos!$E$27*Supuestos!$E$33+Supuestos!$E$28*Supuestos!$E$34)/12*$B$20+$B$22-$B$18))&lt;=0,"Pierde",$B$24/((Supuestos!$E$9+Supuestos!$E$8*$A32)*(1-Supuestos!$E$18*Supuestos!$E$19)*(1-Supuestos!$E$20)-(Supuestos!$E$30*$B$20+E$31*(Supuestos!$E$8*(Supuestos!$E$25*Supuestos!$E$31+Supuestos!$E$26*Supuestos!$E$32+Supuestos!$E$27*Supuestos!$E$33+Supuestos!$E$28*Supuestos!$E$34)/12*$B$20+$B$22-$B$18))))</f>
        <v/>
      </c>
      <c r="F32" s="51">
        <f>IF((Supuestos!$E$9+Supuestos!$E$8*$A32)*(1-Supuestos!$E$18*Supuestos!$E$19)*(1-Supuestos!$E$20)-(Supuestos!$E$30*$B$20+F$31*(Supuestos!$E$8*(Supuestos!$E$25*Supuestos!$E$31+Supuestos!$E$26*Supuestos!$E$32+Supuestos!$E$27*Supuestos!$E$33+Supuestos!$E$28*Supuestos!$E$34)/12*$B$20+$B$22-$B$18))&lt;=0,"Pierde",$B$24/((Supuestos!$E$9+Supuestos!$E$8*$A32)*(1-Supuestos!$E$18*Supuestos!$E$19)*(1-Supuestos!$E$20)-(Supuestos!$E$30*$B$20+F$31*(Supuestos!$E$8*(Supuestos!$E$25*Supuestos!$E$31+Supuestos!$E$26*Supuestos!$E$32+Supuestos!$E$27*Supuestos!$E$33+Supuestos!$E$28*Supuestos!$E$34)/12*$B$20+$B$22-$B$18))))</f>
        <v/>
      </c>
    </row>
    <row r="33">
      <c r="A33" s="21" t="n">
        <v>8</v>
      </c>
      <c r="B33" s="51">
        <f>IF((Supuestos!$E$9+Supuestos!$E$8*$A33)*(1-Supuestos!$E$18*Supuestos!$E$19)*(1-Supuestos!$E$20)-(Supuestos!$E$30*$B$20+B$31*(Supuestos!$E$8*(Supuestos!$E$25*Supuestos!$E$31+Supuestos!$E$26*Supuestos!$E$32+Supuestos!$E$27*Supuestos!$E$33+Supuestos!$E$28*Supuestos!$E$34)/12*$B$20+$B$22-$B$18))&lt;=0,"Pierde",$B$24/((Supuestos!$E$9+Supuestos!$E$8*$A33)*(1-Supuestos!$E$18*Supuestos!$E$19)*(1-Supuestos!$E$20)-(Supuestos!$E$30*$B$20+B$31*(Supuestos!$E$8*(Supuestos!$E$25*Supuestos!$E$31+Supuestos!$E$26*Supuestos!$E$32+Supuestos!$E$27*Supuestos!$E$33+Supuestos!$E$28*Supuestos!$E$34)/12*$B$20+$B$22-$B$18))))</f>
        <v/>
      </c>
      <c r="C33" s="51">
        <f>IF((Supuestos!$E$9+Supuestos!$E$8*$A33)*(1-Supuestos!$E$18*Supuestos!$E$19)*(1-Supuestos!$E$20)-(Supuestos!$E$30*$B$20+C$31*(Supuestos!$E$8*(Supuestos!$E$25*Supuestos!$E$31+Supuestos!$E$26*Supuestos!$E$32+Supuestos!$E$27*Supuestos!$E$33+Supuestos!$E$28*Supuestos!$E$34)/12*$B$20+$B$22-$B$18))&lt;=0,"Pierde",$B$24/((Supuestos!$E$9+Supuestos!$E$8*$A33)*(1-Supuestos!$E$18*Supuestos!$E$19)*(1-Supuestos!$E$20)-(Supuestos!$E$30*$B$20+C$31*(Supuestos!$E$8*(Supuestos!$E$25*Supuestos!$E$31+Supuestos!$E$26*Supuestos!$E$32+Supuestos!$E$27*Supuestos!$E$33+Supuestos!$E$28*Supuestos!$E$34)/12*$B$20+$B$22-$B$18))))</f>
        <v/>
      </c>
      <c r="D33" s="51">
        <f>IF((Supuestos!$E$9+Supuestos!$E$8*$A33)*(1-Supuestos!$E$18*Supuestos!$E$19)*(1-Supuestos!$E$20)-(Supuestos!$E$30*$B$20+D$31*(Supuestos!$E$8*(Supuestos!$E$25*Supuestos!$E$31+Supuestos!$E$26*Supuestos!$E$32+Supuestos!$E$27*Supuestos!$E$33+Supuestos!$E$28*Supuestos!$E$34)/12*$B$20+$B$22-$B$18))&lt;=0,"Pierde",$B$24/((Supuestos!$E$9+Supuestos!$E$8*$A33)*(1-Supuestos!$E$18*Supuestos!$E$19)*(1-Supuestos!$E$20)-(Supuestos!$E$30*$B$20+D$31*(Supuestos!$E$8*(Supuestos!$E$25*Supuestos!$E$31+Supuestos!$E$26*Supuestos!$E$32+Supuestos!$E$27*Supuestos!$E$33+Supuestos!$E$28*Supuestos!$E$34)/12*$B$20+$B$22-$B$18))))</f>
        <v/>
      </c>
      <c r="E33" s="51">
        <f>IF((Supuestos!$E$9+Supuestos!$E$8*$A33)*(1-Supuestos!$E$18*Supuestos!$E$19)*(1-Supuestos!$E$20)-(Supuestos!$E$30*$B$20+E$31*(Supuestos!$E$8*(Supuestos!$E$25*Supuestos!$E$31+Supuestos!$E$26*Supuestos!$E$32+Supuestos!$E$27*Supuestos!$E$33+Supuestos!$E$28*Supuestos!$E$34)/12*$B$20+$B$22-$B$18))&lt;=0,"Pierde",$B$24/((Supuestos!$E$9+Supuestos!$E$8*$A33)*(1-Supuestos!$E$18*Supuestos!$E$19)*(1-Supuestos!$E$20)-(Supuestos!$E$30*$B$20+E$31*(Supuestos!$E$8*(Supuestos!$E$25*Supuestos!$E$31+Supuestos!$E$26*Supuestos!$E$32+Supuestos!$E$27*Supuestos!$E$33+Supuestos!$E$28*Supuestos!$E$34)/12*$B$20+$B$22-$B$18))))</f>
        <v/>
      </c>
      <c r="F33" s="51">
        <f>IF((Supuestos!$E$9+Supuestos!$E$8*$A33)*(1-Supuestos!$E$18*Supuestos!$E$19)*(1-Supuestos!$E$20)-(Supuestos!$E$30*$B$20+F$31*(Supuestos!$E$8*(Supuestos!$E$25*Supuestos!$E$31+Supuestos!$E$26*Supuestos!$E$32+Supuestos!$E$27*Supuestos!$E$33+Supuestos!$E$28*Supuestos!$E$34)/12*$B$20+$B$22-$B$18))&lt;=0,"Pierde",$B$24/((Supuestos!$E$9+Supuestos!$E$8*$A33)*(1-Supuestos!$E$18*Supuestos!$E$19)*(1-Supuestos!$E$20)-(Supuestos!$E$30*$B$20+F$31*(Supuestos!$E$8*(Supuestos!$E$25*Supuestos!$E$31+Supuestos!$E$26*Supuestos!$E$32+Supuestos!$E$27*Supuestos!$E$33+Supuestos!$E$28*Supuestos!$E$34)/12*$B$20+$B$22-$B$18))))</f>
        <v/>
      </c>
    </row>
    <row r="34">
      <c r="A34" s="21" t="n">
        <v>10</v>
      </c>
      <c r="B34" s="51">
        <f>IF((Supuestos!$E$9+Supuestos!$E$8*$A34)*(1-Supuestos!$E$18*Supuestos!$E$19)*(1-Supuestos!$E$20)-(Supuestos!$E$30*$B$20+B$31*(Supuestos!$E$8*(Supuestos!$E$25*Supuestos!$E$31+Supuestos!$E$26*Supuestos!$E$32+Supuestos!$E$27*Supuestos!$E$33+Supuestos!$E$28*Supuestos!$E$34)/12*$B$20+$B$22-$B$18))&lt;=0,"Pierde",$B$24/((Supuestos!$E$9+Supuestos!$E$8*$A34)*(1-Supuestos!$E$18*Supuestos!$E$19)*(1-Supuestos!$E$20)-(Supuestos!$E$30*$B$20+B$31*(Supuestos!$E$8*(Supuestos!$E$25*Supuestos!$E$31+Supuestos!$E$26*Supuestos!$E$32+Supuestos!$E$27*Supuestos!$E$33+Supuestos!$E$28*Supuestos!$E$34)/12*$B$20+$B$22-$B$18))))</f>
        <v/>
      </c>
      <c r="C34" s="51">
        <f>IF((Supuestos!$E$9+Supuestos!$E$8*$A34)*(1-Supuestos!$E$18*Supuestos!$E$19)*(1-Supuestos!$E$20)-(Supuestos!$E$30*$B$20+C$31*(Supuestos!$E$8*(Supuestos!$E$25*Supuestos!$E$31+Supuestos!$E$26*Supuestos!$E$32+Supuestos!$E$27*Supuestos!$E$33+Supuestos!$E$28*Supuestos!$E$34)/12*$B$20+$B$22-$B$18))&lt;=0,"Pierde",$B$24/((Supuestos!$E$9+Supuestos!$E$8*$A34)*(1-Supuestos!$E$18*Supuestos!$E$19)*(1-Supuestos!$E$20)-(Supuestos!$E$30*$B$20+C$31*(Supuestos!$E$8*(Supuestos!$E$25*Supuestos!$E$31+Supuestos!$E$26*Supuestos!$E$32+Supuestos!$E$27*Supuestos!$E$33+Supuestos!$E$28*Supuestos!$E$34)/12*$B$20+$B$22-$B$18))))</f>
        <v/>
      </c>
      <c r="D34" s="51">
        <f>IF((Supuestos!$E$9+Supuestos!$E$8*$A34)*(1-Supuestos!$E$18*Supuestos!$E$19)*(1-Supuestos!$E$20)-(Supuestos!$E$30*$B$20+D$31*(Supuestos!$E$8*(Supuestos!$E$25*Supuestos!$E$31+Supuestos!$E$26*Supuestos!$E$32+Supuestos!$E$27*Supuestos!$E$33+Supuestos!$E$28*Supuestos!$E$34)/12*$B$20+$B$22-$B$18))&lt;=0,"Pierde",$B$24/((Supuestos!$E$9+Supuestos!$E$8*$A34)*(1-Supuestos!$E$18*Supuestos!$E$19)*(1-Supuestos!$E$20)-(Supuestos!$E$30*$B$20+D$31*(Supuestos!$E$8*(Supuestos!$E$25*Supuestos!$E$31+Supuestos!$E$26*Supuestos!$E$32+Supuestos!$E$27*Supuestos!$E$33+Supuestos!$E$28*Supuestos!$E$34)/12*$B$20+$B$22-$B$18))))</f>
        <v/>
      </c>
      <c r="E34" s="51">
        <f>IF((Supuestos!$E$9+Supuestos!$E$8*$A34)*(1-Supuestos!$E$18*Supuestos!$E$19)*(1-Supuestos!$E$20)-(Supuestos!$E$30*$B$20+E$31*(Supuestos!$E$8*(Supuestos!$E$25*Supuestos!$E$31+Supuestos!$E$26*Supuestos!$E$32+Supuestos!$E$27*Supuestos!$E$33+Supuestos!$E$28*Supuestos!$E$34)/12*$B$20+$B$22-$B$18))&lt;=0,"Pierde",$B$24/((Supuestos!$E$9+Supuestos!$E$8*$A34)*(1-Supuestos!$E$18*Supuestos!$E$19)*(1-Supuestos!$E$20)-(Supuestos!$E$30*$B$20+E$31*(Supuestos!$E$8*(Supuestos!$E$25*Supuestos!$E$31+Supuestos!$E$26*Supuestos!$E$32+Supuestos!$E$27*Supuestos!$E$33+Supuestos!$E$28*Supuestos!$E$34)/12*$B$20+$B$22-$B$18))))</f>
        <v/>
      </c>
      <c r="F34" s="51">
        <f>IF((Supuestos!$E$9+Supuestos!$E$8*$A34)*(1-Supuestos!$E$18*Supuestos!$E$19)*(1-Supuestos!$E$20)-(Supuestos!$E$30*$B$20+F$31*(Supuestos!$E$8*(Supuestos!$E$25*Supuestos!$E$31+Supuestos!$E$26*Supuestos!$E$32+Supuestos!$E$27*Supuestos!$E$33+Supuestos!$E$28*Supuestos!$E$34)/12*$B$20+$B$22-$B$18))&lt;=0,"Pierde",$B$24/((Supuestos!$E$9+Supuestos!$E$8*$A34)*(1-Supuestos!$E$18*Supuestos!$E$19)*(1-Supuestos!$E$20)-(Supuestos!$E$30*$B$20+F$31*(Supuestos!$E$8*(Supuestos!$E$25*Supuestos!$E$31+Supuestos!$E$26*Supuestos!$E$32+Supuestos!$E$27*Supuestos!$E$33+Supuestos!$E$28*Supuestos!$E$34)/12*$B$20+$B$22-$B$18))))</f>
        <v/>
      </c>
    </row>
    <row r="35">
      <c r="A35" s="21" t="n">
        <v>12</v>
      </c>
      <c r="B35" s="51">
        <f>IF((Supuestos!$E$9+Supuestos!$E$8*$A35)*(1-Supuestos!$E$18*Supuestos!$E$19)*(1-Supuestos!$E$20)-(Supuestos!$E$30*$B$20+B$31*(Supuestos!$E$8*(Supuestos!$E$25*Supuestos!$E$31+Supuestos!$E$26*Supuestos!$E$32+Supuestos!$E$27*Supuestos!$E$33+Supuestos!$E$28*Supuestos!$E$34)/12*$B$20+$B$22-$B$18))&lt;=0,"Pierde",$B$24/((Supuestos!$E$9+Supuestos!$E$8*$A35)*(1-Supuestos!$E$18*Supuestos!$E$19)*(1-Supuestos!$E$20)-(Supuestos!$E$30*$B$20+B$31*(Supuestos!$E$8*(Supuestos!$E$25*Supuestos!$E$31+Supuestos!$E$26*Supuestos!$E$32+Supuestos!$E$27*Supuestos!$E$33+Supuestos!$E$28*Supuestos!$E$34)/12*$B$20+$B$22-$B$18))))</f>
        <v/>
      </c>
      <c r="C35" s="51">
        <f>IF((Supuestos!$E$9+Supuestos!$E$8*$A35)*(1-Supuestos!$E$18*Supuestos!$E$19)*(1-Supuestos!$E$20)-(Supuestos!$E$30*$B$20+C$31*(Supuestos!$E$8*(Supuestos!$E$25*Supuestos!$E$31+Supuestos!$E$26*Supuestos!$E$32+Supuestos!$E$27*Supuestos!$E$33+Supuestos!$E$28*Supuestos!$E$34)/12*$B$20+$B$22-$B$18))&lt;=0,"Pierde",$B$24/((Supuestos!$E$9+Supuestos!$E$8*$A35)*(1-Supuestos!$E$18*Supuestos!$E$19)*(1-Supuestos!$E$20)-(Supuestos!$E$30*$B$20+C$31*(Supuestos!$E$8*(Supuestos!$E$25*Supuestos!$E$31+Supuestos!$E$26*Supuestos!$E$32+Supuestos!$E$27*Supuestos!$E$33+Supuestos!$E$28*Supuestos!$E$34)/12*$B$20+$B$22-$B$18))))</f>
        <v/>
      </c>
      <c r="D35" s="51">
        <f>IF((Supuestos!$E$9+Supuestos!$E$8*$A35)*(1-Supuestos!$E$18*Supuestos!$E$19)*(1-Supuestos!$E$20)-(Supuestos!$E$30*$B$20+D$31*(Supuestos!$E$8*(Supuestos!$E$25*Supuestos!$E$31+Supuestos!$E$26*Supuestos!$E$32+Supuestos!$E$27*Supuestos!$E$33+Supuestos!$E$28*Supuestos!$E$34)/12*$B$20+$B$22-$B$18))&lt;=0,"Pierde",$B$24/((Supuestos!$E$9+Supuestos!$E$8*$A35)*(1-Supuestos!$E$18*Supuestos!$E$19)*(1-Supuestos!$E$20)-(Supuestos!$E$30*$B$20+D$31*(Supuestos!$E$8*(Supuestos!$E$25*Supuestos!$E$31+Supuestos!$E$26*Supuestos!$E$32+Supuestos!$E$27*Supuestos!$E$33+Supuestos!$E$28*Supuestos!$E$34)/12*$B$20+$B$22-$B$18))))</f>
        <v/>
      </c>
      <c r="E35" s="51">
        <f>IF((Supuestos!$E$9+Supuestos!$E$8*$A35)*(1-Supuestos!$E$18*Supuestos!$E$19)*(1-Supuestos!$E$20)-(Supuestos!$E$30*$B$20+E$31*(Supuestos!$E$8*(Supuestos!$E$25*Supuestos!$E$31+Supuestos!$E$26*Supuestos!$E$32+Supuestos!$E$27*Supuestos!$E$33+Supuestos!$E$28*Supuestos!$E$34)/12*$B$20+$B$22-$B$18))&lt;=0,"Pierde",$B$24/((Supuestos!$E$9+Supuestos!$E$8*$A35)*(1-Supuestos!$E$18*Supuestos!$E$19)*(1-Supuestos!$E$20)-(Supuestos!$E$30*$B$20+E$31*(Supuestos!$E$8*(Supuestos!$E$25*Supuestos!$E$31+Supuestos!$E$26*Supuestos!$E$32+Supuestos!$E$27*Supuestos!$E$33+Supuestos!$E$28*Supuestos!$E$34)/12*$B$20+$B$22-$B$18))))</f>
        <v/>
      </c>
      <c r="F35" s="51">
        <f>IF((Supuestos!$E$9+Supuestos!$E$8*$A35)*(1-Supuestos!$E$18*Supuestos!$E$19)*(1-Supuestos!$E$20)-(Supuestos!$E$30*$B$20+F$31*(Supuestos!$E$8*(Supuestos!$E$25*Supuestos!$E$31+Supuestos!$E$26*Supuestos!$E$32+Supuestos!$E$27*Supuestos!$E$33+Supuestos!$E$28*Supuestos!$E$34)/12*$B$20+$B$22-$B$18))&lt;=0,"Pierde",$B$24/((Supuestos!$E$9+Supuestos!$E$8*$A35)*(1-Supuestos!$E$18*Supuestos!$E$19)*(1-Supuestos!$E$20)-(Supuestos!$E$30*$B$20+F$31*(Supuestos!$E$8*(Supuestos!$E$25*Supuestos!$E$31+Supuestos!$E$26*Supuestos!$E$32+Supuestos!$E$27*Supuestos!$E$33+Supuestos!$E$28*Supuestos!$E$34)/12*$B$20+$B$22-$B$18))))</f>
        <v/>
      </c>
    </row>
    <row r="36">
      <c r="A36" s="21" t="n">
        <v>15</v>
      </c>
      <c r="B36" s="51">
        <f>IF((Supuestos!$E$9+Supuestos!$E$8*$A36)*(1-Supuestos!$E$18*Supuestos!$E$19)*(1-Supuestos!$E$20)-(Supuestos!$E$30*$B$20+B$31*(Supuestos!$E$8*(Supuestos!$E$25*Supuestos!$E$31+Supuestos!$E$26*Supuestos!$E$32+Supuestos!$E$27*Supuestos!$E$33+Supuestos!$E$28*Supuestos!$E$34)/12*$B$20+$B$22-$B$18))&lt;=0,"Pierde",$B$24/((Supuestos!$E$9+Supuestos!$E$8*$A36)*(1-Supuestos!$E$18*Supuestos!$E$19)*(1-Supuestos!$E$20)-(Supuestos!$E$30*$B$20+B$31*(Supuestos!$E$8*(Supuestos!$E$25*Supuestos!$E$31+Supuestos!$E$26*Supuestos!$E$32+Supuestos!$E$27*Supuestos!$E$33+Supuestos!$E$28*Supuestos!$E$34)/12*$B$20+$B$22-$B$18))))</f>
        <v/>
      </c>
      <c r="C36" s="51">
        <f>IF((Supuestos!$E$9+Supuestos!$E$8*$A36)*(1-Supuestos!$E$18*Supuestos!$E$19)*(1-Supuestos!$E$20)-(Supuestos!$E$30*$B$20+C$31*(Supuestos!$E$8*(Supuestos!$E$25*Supuestos!$E$31+Supuestos!$E$26*Supuestos!$E$32+Supuestos!$E$27*Supuestos!$E$33+Supuestos!$E$28*Supuestos!$E$34)/12*$B$20+$B$22-$B$18))&lt;=0,"Pierde",$B$24/((Supuestos!$E$9+Supuestos!$E$8*$A36)*(1-Supuestos!$E$18*Supuestos!$E$19)*(1-Supuestos!$E$20)-(Supuestos!$E$30*$B$20+C$31*(Supuestos!$E$8*(Supuestos!$E$25*Supuestos!$E$31+Supuestos!$E$26*Supuestos!$E$32+Supuestos!$E$27*Supuestos!$E$33+Supuestos!$E$28*Supuestos!$E$34)/12*$B$20+$B$22-$B$18))))</f>
        <v/>
      </c>
      <c r="D36" s="51">
        <f>IF((Supuestos!$E$9+Supuestos!$E$8*$A36)*(1-Supuestos!$E$18*Supuestos!$E$19)*(1-Supuestos!$E$20)-(Supuestos!$E$30*$B$20+D$31*(Supuestos!$E$8*(Supuestos!$E$25*Supuestos!$E$31+Supuestos!$E$26*Supuestos!$E$32+Supuestos!$E$27*Supuestos!$E$33+Supuestos!$E$28*Supuestos!$E$34)/12*$B$20+$B$22-$B$18))&lt;=0,"Pierde",$B$24/((Supuestos!$E$9+Supuestos!$E$8*$A36)*(1-Supuestos!$E$18*Supuestos!$E$19)*(1-Supuestos!$E$20)-(Supuestos!$E$30*$B$20+D$31*(Supuestos!$E$8*(Supuestos!$E$25*Supuestos!$E$31+Supuestos!$E$26*Supuestos!$E$32+Supuestos!$E$27*Supuestos!$E$33+Supuestos!$E$28*Supuestos!$E$34)/12*$B$20+$B$22-$B$18))))</f>
        <v/>
      </c>
      <c r="E36" s="51">
        <f>IF((Supuestos!$E$9+Supuestos!$E$8*$A36)*(1-Supuestos!$E$18*Supuestos!$E$19)*(1-Supuestos!$E$20)-(Supuestos!$E$30*$B$20+E$31*(Supuestos!$E$8*(Supuestos!$E$25*Supuestos!$E$31+Supuestos!$E$26*Supuestos!$E$32+Supuestos!$E$27*Supuestos!$E$33+Supuestos!$E$28*Supuestos!$E$34)/12*$B$20+$B$22-$B$18))&lt;=0,"Pierde",$B$24/((Supuestos!$E$9+Supuestos!$E$8*$A36)*(1-Supuestos!$E$18*Supuestos!$E$19)*(1-Supuestos!$E$20)-(Supuestos!$E$30*$B$20+E$31*(Supuestos!$E$8*(Supuestos!$E$25*Supuestos!$E$31+Supuestos!$E$26*Supuestos!$E$32+Supuestos!$E$27*Supuestos!$E$33+Supuestos!$E$28*Supuestos!$E$34)/12*$B$20+$B$22-$B$18))))</f>
        <v/>
      </c>
      <c r="F36" s="51">
        <f>IF((Supuestos!$E$9+Supuestos!$E$8*$A36)*(1-Supuestos!$E$18*Supuestos!$E$19)*(1-Supuestos!$E$20)-(Supuestos!$E$30*$B$20+F$31*(Supuestos!$E$8*(Supuestos!$E$25*Supuestos!$E$31+Supuestos!$E$26*Supuestos!$E$32+Supuestos!$E$27*Supuestos!$E$33+Supuestos!$E$28*Supuestos!$E$34)/12*$B$20+$B$22-$B$18))&lt;=0,"Pierde",$B$24/((Supuestos!$E$9+Supuestos!$E$8*$A36)*(1-Supuestos!$E$18*Supuestos!$E$19)*(1-Supuestos!$E$20)-(Supuestos!$E$30*$B$20+F$31*(Supuestos!$E$8*(Supuestos!$E$25*Supuestos!$E$31+Supuestos!$E$26*Supuestos!$E$32+Supuestos!$E$27*Supuestos!$E$33+Supuestos!$E$28*Supuestos!$E$34)/12*$B$20+$B$22-$B$18))))</f>
        <v/>
      </c>
    </row>
    <row r="37">
      <c r="A37" s="21" t="n">
        <v>20</v>
      </c>
      <c r="B37" s="51">
        <f>IF((Supuestos!$E$9+Supuestos!$E$8*$A37)*(1-Supuestos!$E$18*Supuestos!$E$19)*(1-Supuestos!$E$20)-(Supuestos!$E$30*$B$20+B$31*(Supuestos!$E$8*(Supuestos!$E$25*Supuestos!$E$31+Supuestos!$E$26*Supuestos!$E$32+Supuestos!$E$27*Supuestos!$E$33+Supuestos!$E$28*Supuestos!$E$34)/12*$B$20+$B$22-$B$18))&lt;=0,"Pierde",$B$24/((Supuestos!$E$9+Supuestos!$E$8*$A37)*(1-Supuestos!$E$18*Supuestos!$E$19)*(1-Supuestos!$E$20)-(Supuestos!$E$30*$B$20+B$31*(Supuestos!$E$8*(Supuestos!$E$25*Supuestos!$E$31+Supuestos!$E$26*Supuestos!$E$32+Supuestos!$E$27*Supuestos!$E$33+Supuestos!$E$28*Supuestos!$E$34)/12*$B$20+$B$22-$B$18))))</f>
        <v/>
      </c>
      <c r="C37" s="51">
        <f>IF((Supuestos!$E$9+Supuestos!$E$8*$A37)*(1-Supuestos!$E$18*Supuestos!$E$19)*(1-Supuestos!$E$20)-(Supuestos!$E$30*$B$20+C$31*(Supuestos!$E$8*(Supuestos!$E$25*Supuestos!$E$31+Supuestos!$E$26*Supuestos!$E$32+Supuestos!$E$27*Supuestos!$E$33+Supuestos!$E$28*Supuestos!$E$34)/12*$B$20+$B$22-$B$18))&lt;=0,"Pierde",$B$24/((Supuestos!$E$9+Supuestos!$E$8*$A37)*(1-Supuestos!$E$18*Supuestos!$E$19)*(1-Supuestos!$E$20)-(Supuestos!$E$30*$B$20+C$31*(Supuestos!$E$8*(Supuestos!$E$25*Supuestos!$E$31+Supuestos!$E$26*Supuestos!$E$32+Supuestos!$E$27*Supuestos!$E$33+Supuestos!$E$28*Supuestos!$E$34)/12*$B$20+$B$22-$B$18))))</f>
        <v/>
      </c>
      <c r="D37" s="51">
        <f>IF((Supuestos!$E$9+Supuestos!$E$8*$A37)*(1-Supuestos!$E$18*Supuestos!$E$19)*(1-Supuestos!$E$20)-(Supuestos!$E$30*$B$20+D$31*(Supuestos!$E$8*(Supuestos!$E$25*Supuestos!$E$31+Supuestos!$E$26*Supuestos!$E$32+Supuestos!$E$27*Supuestos!$E$33+Supuestos!$E$28*Supuestos!$E$34)/12*$B$20+$B$22-$B$18))&lt;=0,"Pierde",$B$24/((Supuestos!$E$9+Supuestos!$E$8*$A37)*(1-Supuestos!$E$18*Supuestos!$E$19)*(1-Supuestos!$E$20)-(Supuestos!$E$30*$B$20+D$31*(Supuestos!$E$8*(Supuestos!$E$25*Supuestos!$E$31+Supuestos!$E$26*Supuestos!$E$32+Supuestos!$E$27*Supuestos!$E$33+Supuestos!$E$28*Supuestos!$E$34)/12*$B$20+$B$22-$B$18))))</f>
        <v/>
      </c>
      <c r="E37" s="51">
        <f>IF((Supuestos!$E$9+Supuestos!$E$8*$A37)*(1-Supuestos!$E$18*Supuestos!$E$19)*(1-Supuestos!$E$20)-(Supuestos!$E$30*$B$20+E$31*(Supuestos!$E$8*(Supuestos!$E$25*Supuestos!$E$31+Supuestos!$E$26*Supuestos!$E$32+Supuestos!$E$27*Supuestos!$E$33+Supuestos!$E$28*Supuestos!$E$34)/12*$B$20+$B$22-$B$18))&lt;=0,"Pierde",$B$24/((Supuestos!$E$9+Supuestos!$E$8*$A37)*(1-Supuestos!$E$18*Supuestos!$E$19)*(1-Supuestos!$E$20)-(Supuestos!$E$30*$B$20+E$31*(Supuestos!$E$8*(Supuestos!$E$25*Supuestos!$E$31+Supuestos!$E$26*Supuestos!$E$32+Supuestos!$E$27*Supuestos!$E$33+Supuestos!$E$28*Supuestos!$E$34)/12*$B$20+$B$22-$B$18))))</f>
        <v/>
      </c>
      <c r="F37" s="51">
        <f>IF((Supuestos!$E$9+Supuestos!$E$8*$A37)*(1-Supuestos!$E$18*Supuestos!$E$19)*(1-Supuestos!$E$20)-(Supuestos!$E$30*$B$20+F$31*(Supuestos!$E$8*(Supuestos!$E$25*Supuestos!$E$31+Supuestos!$E$26*Supuestos!$E$32+Supuestos!$E$27*Supuestos!$E$33+Supuestos!$E$28*Supuestos!$E$34)/12*$B$20+$B$22-$B$18))&lt;=0,"Pierde",$B$24/((Supuestos!$E$9+Supuestos!$E$8*$A37)*(1-Supuestos!$E$18*Supuestos!$E$19)*(1-Supuestos!$E$20)-(Supuestos!$E$30*$B$20+F$31*(Supuestos!$E$8*(Supuestos!$E$25*Supuestos!$E$31+Supuestos!$E$26*Supuestos!$E$32+Supuestos!$E$27*Supuestos!$E$33+Supuestos!$E$28*Supuestos!$E$34)/12*$B$20+$B$22-$B$18))))</f>
        <v/>
      </c>
    </row>
    <row r="40">
      <c r="A40" s="3" t="inlineStr">
        <is>
          <t>Valor para el socio (dueño del bus), USD por bus por año</t>
        </is>
      </c>
      <c r="B40" s="4" t="n"/>
      <c r="C40" s="4" t="n"/>
    </row>
    <row r="41">
      <c r="A41" s="8" t="inlineStr">
        <is>
          <t>Gasto legal esperado SIN plan (pagando por caso a precio de mercado)</t>
        </is>
      </c>
      <c r="B41" s="13">
        <f>Supuestos!$E$25*Supuestos!$E$15+(Supuestos!$E$26+Supuestos!$E$27)*Supuestos!$E$16</f>
        <v/>
      </c>
      <c r="C41" s="7" t="inlineStr">
        <is>
          <t>promedio: la mayoría de años no paga nada y un año paga USD 2.500 o más</t>
        </is>
      </c>
    </row>
    <row r="42">
      <c r="A42" s="8" t="inlineStr">
        <is>
          <t>Costo esperado CON plan (cuota por bus + honorarios preferenciales)</t>
        </is>
      </c>
      <c r="B42" s="13">
        <f>12*Supuestos!$E$10+Supuestos!$E$25*Supuestos!$E$11+Supuestos!$E$26*Supuestos!$E$12+Supuestos!$E$27*Supuestos!$E$13</f>
        <v/>
      </c>
      <c r="C42" s="7" t="inlineStr">
        <is>
          <t>sin la cuota de la cooperativa, que paga otro servicio (asesoría societaria); incluye multas y 24/7</t>
        </is>
      </c>
    </row>
    <row r="43">
      <c r="A43" s="5" t="inlineStr">
        <is>
          <t>Ahorro esperado del socio</t>
        </is>
      </c>
      <c r="B43" s="11">
        <f>B41-B42</f>
        <v/>
      </c>
      <c r="C43" s="7" t="inlineStr">
        <is>
          <t>si es negativo, el plan se vende por tranquilidad y rapidez, no por ahorro</t>
        </is>
      </c>
    </row>
    <row r="44">
      <c r="A44" s="8" t="inlineStr">
        <is>
          <t>Costo para el socio en el año del siniestro grave: sin plan / con plan</t>
        </is>
      </c>
      <c r="B44" s="23">
        <f>TEXT(Supuestos!$E$16,"$#,##0")&amp;" / "&amp;TEXT(12*Supuestos!$E$10+Supuestos!$E$12,"$#,##0")</f>
        <v/>
      </c>
      <c r="C44" s="7" t="inlineStr">
        <is>
          <t>caso con lesionados</t>
        </is>
      </c>
    </row>
    <row r="46" ht="30" customHeight="1">
      <c r="A46" s="24" t="inlineStr">
        <is>
          <t>Notas: (1) Fuente de todos los números: supuestos de trabajo, no datos de mercado verificados; reemplácelos con datos reales de las cooperativas (historial de siniestros y multas). (2) El modelo no incluye un evento catastrófico (bus con múltiples víctimas); ver informe. (3) Honorarios por caso: se asumen cobrados en el mismo mes del siniestro. (4) Los cobros anuales adelantados mejoran la caja pero no se modelan como anticipo.</t>
        </is>
      </c>
    </row>
    <row r="47"/>
    <row r="48"/>
  </sheetData>
  <mergeCells count="1">
    <mergeCell ref="A46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1" t="inlineStr">
        <is>
          <t>Plan de Asistencia Legal a Cooperativas de Transporte (Guayaquil) — Jurix Global</t>
        </is>
      </c>
    </row>
    <row r="2">
      <c r="A2" s="2" t="inlineStr">
        <is>
          <t>Leyenda: texto AZUL = dato editable · fondo AMARILLO = supuesto clave a validar · NEGRO = fórmula. Montos en USD.</t>
        </is>
      </c>
    </row>
    <row r="4">
      <c r="A4" s="5" t="inlineStr">
        <is>
          <t>Escenario activo (1 = Pesimista, 2 = Base, 3 = Optimista)</t>
        </is>
      </c>
      <c r="B4" s="25" t="n">
        <v>2</v>
      </c>
    </row>
    <row r="6">
      <c r="A6" s="3" t="inlineStr">
        <is>
          <t>Supuesto</t>
        </is>
      </c>
      <c r="B6" s="3" t="inlineStr">
        <is>
          <t>Pesimista</t>
        </is>
      </c>
      <c r="C6" s="3" t="inlineStr">
        <is>
          <t>Base</t>
        </is>
      </c>
      <c r="D6" s="3" t="inlineStr">
        <is>
          <t>Optimista</t>
        </is>
      </c>
      <c r="E6" s="3" t="inlineStr">
        <is>
          <t>ACTIVO</t>
        </is>
      </c>
      <c r="F6" s="3" t="inlineStr">
        <is>
          <t>Unidad / nota</t>
        </is>
      </c>
    </row>
    <row r="7">
      <c r="A7" s="26" t="inlineStr">
        <is>
          <t>Comercial y precio</t>
        </is>
      </c>
      <c r="B7" s="27" t="n"/>
      <c r="C7" s="27" t="n"/>
      <c r="D7" s="27" t="n"/>
      <c r="E7" s="27" t="n"/>
      <c r="F7" s="27" t="n"/>
    </row>
    <row r="8">
      <c r="A8" s="8" t="inlineStr">
        <is>
          <t>Buses (socios) por cooperativa</t>
        </is>
      </c>
      <c r="B8" s="52" t="n">
        <v>40</v>
      </c>
      <c r="C8" s="52" t="n">
        <v>40</v>
      </c>
      <c r="D8" s="52" t="n">
        <v>40</v>
      </c>
      <c r="E8" s="48">
        <f>INDEX(B8:D8,1,$B$4)</f>
        <v/>
      </c>
      <c r="F8" s="7" t="inlineStr">
        <is>
          <t>unidades; Guayaquil: ~58 cooperativas urbanas y ~1.950–2.500 buses (ATM, 2024–2026) ≈ 35–43 por cooperativa</t>
        </is>
      </c>
    </row>
    <row r="9">
      <c r="A9" s="8" t="inlineStr">
        <is>
          <t>Cuota base por cooperativa (asesoría societaria permanente)</t>
        </is>
      </c>
      <c r="B9" s="29" t="n">
        <v>300</v>
      </c>
      <c r="C9" s="29" t="n">
        <v>300</v>
      </c>
      <c r="D9" s="29" t="n">
        <v>300</v>
      </c>
      <c r="E9" s="11">
        <f>INDEX(B9:D9,1,$B$4)</f>
        <v/>
      </c>
      <c r="F9" s="7" t="inlineStr">
        <is>
          <t>USD/mes por cooperativa</t>
        </is>
      </c>
    </row>
    <row r="10">
      <c r="A10" s="8" t="inlineStr">
        <is>
          <t>Cuota por bus (asistencia en multas y siniestros)</t>
        </is>
      </c>
      <c r="B10" s="53" t="n">
        <v>12</v>
      </c>
      <c r="C10" s="53" t="n">
        <v>12</v>
      </c>
      <c r="D10" s="53" t="n">
        <v>12</v>
      </c>
      <c r="E10" s="54">
        <f>INDEX(B10:D10,1,$B$4)</f>
        <v/>
      </c>
      <c r="F10" s="7" t="inlineStr">
        <is>
          <t>USD/mes por bus</t>
        </is>
      </c>
    </row>
    <row r="11">
      <c r="A11" s="8" t="inlineStr">
        <is>
          <t>Honorario preferencial por siniestro con daños materiales</t>
        </is>
      </c>
      <c r="B11" s="29" t="n">
        <v>300</v>
      </c>
      <c r="C11" s="29" t="n">
        <v>300</v>
      </c>
      <c r="D11" s="29" t="n">
        <v>300</v>
      </c>
      <c r="E11" s="11">
        <f>INDEX(B11:D11,1,$B$4)</f>
        <v/>
      </c>
      <c r="F11" s="7" t="inlineStr">
        <is>
          <t>USD/caso cobrado al socio (0 = plan sin copago)</t>
        </is>
      </c>
    </row>
    <row r="12">
      <c r="A12" s="8" t="inlineStr">
        <is>
          <t>Honorario preferencial por siniestro con lesionados</t>
        </is>
      </c>
      <c r="B12" s="29" t="n">
        <v>1200</v>
      </c>
      <c r="C12" s="29" t="n">
        <v>1200</v>
      </c>
      <c r="D12" s="29" t="n">
        <v>1200</v>
      </c>
      <c r="E12" s="11">
        <f>INDEX(B12:D12,1,$B$4)</f>
        <v/>
      </c>
      <c r="F12" s="7" t="inlineStr">
        <is>
          <t>USD/caso; referencia: Jurix cobra hoy USD 2.500 en procedimiento directo (dato del usuario)</t>
        </is>
      </c>
    </row>
    <row r="13">
      <c r="A13" s="8" t="inlineStr">
        <is>
          <t>Honorario preferencial por siniestro con fallecidos</t>
        </is>
      </c>
      <c r="B13" s="29" t="n">
        <v>1500</v>
      </c>
      <c r="C13" s="29" t="n">
        <v>1500</v>
      </c>
      <c r="D13" s="29" t="n">
        <v>1500</v>
      </c>
      <c r="E13" s="11">
        <f>INDEX(B13:D13,1,$B$4)</f>
        <v/>
      </c>
      <c r="F13" s="7" t="inlineStr">
        <is>
          <t>USD/caso</t>
        </is>
      </c>
    </row>
    <row r="14">
      <c r="A14" s="8" t="inlineStr">
        <is>
          <t>% del honorario por caso efectivamente cobrado</t>
        </is>
      </c>
      <c r="B14" s="55" t="n">
        <v>0.75</v>
      </c>
      <c r="C14" s="55" t="n">
        <v>0.85</v>
      </c>
      <c r="D14" s="55" t="n">
        <v>0.9</v>
      </c>
      <c r="E14" s="42">
        <f>INDEX(B14:D14,1,$B$4)</f>
        <v/>
      </c>
      <c r="F14" s="7" t="inlineStr">
        <is>
          <t>se cobra al socio; parte se negocia en cuotas o no se paga</t>
        </is>
      </c>
    </row>
    <row r="15">
      <c r="A15" s="8" t="inlineStr">
        <is>
          <t>Precio de mercado SIN plan: caso con daños materiales</t>
        </is>
      </c>
      <c r="B15" s="33" t="n">
        <v>600</v>
      </c>
      <c r="C15" s="33" t="n">
        <v>600</v>
      </c>
      <c r="D15" s="33" t="n">
        <v>600</v>
      </c>
      <c r="E15" s="11">
        <f>INDEX(B15:D15,1,$B$4)</f>
        <v/>
      </c>
      <c r="F15" s="7" t="inlineStr">
        <is>
          <t>USD/caso [SUPUESTO] — solo para comparar el valor para el socio</t>
        </is>
      </c>
    </row>
    <row r="16">
      <c r="A16" s="8" t="inlineStr">
        <is>
          <t>Precio de mercado SIN plan: caso con lesionados o fallecidos</t>
        </is>
      </c>
      <c r="B16" s="33" t="n">
        <v>2500</v>
      </c>
      <c r="C16" s="33" t="n">
        <v>2500</v>
      </c>
      <c r="D16" s="33" t="n">
        <v>2500</v>
      </c>
      <c r="E16" s="11">
        <f>INDEX(B16:D16,1,$B$4)</f>
        <v/>
      </c>
      <c r="F16" s="7" t="inlineStr">
        <is>
          <t>USD/caso; tarifa actual de Jurix (dato del usuario); otros estudios cobran más</t>
        </is>
      </c>
    </row>
    <row r="17">
      <c r="A17" s="8" t="inlineStr">
        <is>
          <t>Reajuste anual de precio</t>
        </is>
      </c>
      <c r="B17" s="56" t="n">
        <v>0</v>
      </c>
      <c r="C17" s="56" t="n">
        <v>0.03</v>
      </c>
      <c r="D17" s="56" t="n">
        <v>0.05</v>
      </c>
      <c r="E17" s="42">
        <f>INDEX(B17:D17,1,$B$4)</f>
        <v/>
      </c>
      <c r="F17" s="7" t="inlineStr">
        <is>
          <t>aplicado desde el mes 13 y 25</t>
        </is>
      </c>
    </row>
    <row r="18">
      <c r="A18" s="8" t="inlineStr">
        <is>
          <t>% de cooperativas que pagan anual por adelantado</t>
        </is>
      </c>
      <c r="B18" s="56" t="n">
        <v>0.2</v>
      </c>
      <c r="C18" s="56" t="n">
        <v>0.3</v>
      </c>
      <c r="D18" s="56" t="n">
        <v>0.4</v>
      </c>
      <c r="E18" s="42">
        <f>INDEX(B18:D18,1,$B$4)</f>
        <v/>
      </c>
      <c r="F18" s="7" t="inlineStr"/>
    </row>
    <row r="19">
      <c r="A19" s="8" t="inlineStr">
        <is>
          <t>Descuento por pago anual</t>
        </is>
      </c>
      <c r="B19" s="56" t="n">
        <v>0.1</v>
      </c>
      <c r="C19" s="56" t="n">
        <v>0.1</v>
      </c>
      <c r="D19" s="56" t="n">
        <v>0.1</v>
      </c>
      <c r="E19" s="42">
        <f>INDEX(B19:D19,1,$B$4)</f>
        <v/>
      </c>
      <c r="F19" s="7" t="inlineStr">
        <is>
          <t>sobre la tarifa</t>
        </is>
      </c>
    </row>
    <row r="20">
      <c r="A20" s="8" t="inlineStr">
        <is>
          <t>Morosidad / incobrables</t>
        </is>
      </c>
      <c r="B20" s="55" t="n">
        <v>0.15</v>
      </c>
      <c r="C20" s="55" t="n">
        <v>0.08</v>
      </c>
      <c r="D20" s="55" t="n">
        <v>0.05</v>
      </c>
      <c r="E20" s="42">
        <f>INDEX(B20:D20,1,$B$4)</f>
        <v/>
      </c>
      <c r="F20" s="7" t="inlineStr">
        <is>
          <t>% de lo facturado que no se cobra</t>
        </is>
      </c>
    </row>
    <row r="21">
      <c r="A21" s="8" t="inlineStr">
        <is>
          <t>Cooperativas nuevas por mes</t>
        </is>
      </c>
      <c r="B21" s="57" t="n">
        <v>0.25</v>
      </c>
      <c r="C21" s="57" t="n">
        <v>0.5</v>
      </c>
      <c r="D21" s="57" t="n">
        <v>0.75</v>
      </c>
      <c r="E21" s="47">
        <f>INDEX(B21:D21,1,$B$4)</f>
        <v/>
      </c>
      <c r="F21" s="7" t="inlineStr">
        <is>
          <t>0.5 = una cada 2 meses (ciclo de venta largo: aprobación en asamblea)</t>
        </is>
      </c>
    </row>
    <row r="22">
      <c r="A22" s="8" t="inlineStr">
        <is>
          <t>Pérdida anual de cooperativas (churn)</t>
        </is>
      </c>
      <c r="B22" s="55" t="n">
        <v>0.25</v>
      </c>
      <c r="C22" s="55" t="n">
        <v>0.15</v>
      </c>
      <c r="D22" s="55" t="n">
        <v>0.1</v>
      </c>
      <c r="E22" s="42">
        <f>INDEX(B22:D22,1,$B$4)</f>
        <v/>
      </c>
      <c r="F22" s="7" t="inlineStr">
        <is>
          <t>cambios de gerente/consejo, competencia</t>
        </is>
      </c>
    </row>
    <row r="23">
      <c r="A23" s="8" t="inlineStr">
        <is>
          <t>Máximo de cooperativas atendibles (mercado/zona)</t>
        </is>
      </c>
      <c r="B23" s="58" t="n">
        <v>12</v>
      </c>
      <c r="C23" s="58" t="n">
        <v>15</v>
      </c>
      <c r="D23" s="58" t="n">
        <v>20</v>
      </c>
      <c r="E23" s="48">
        <f>INDEX(B23:D23,1,$B$4)</f>
        <v/>
      </c>
      <c r="F23" s="7" t="inlineStr">
        <is>
          <t>techo comercial; 15 = ~25% de las cooperativas urbanas de Guayaquil</t>
        </is>
      </c>
    </row>
    <row r="24">
      <c r="A24" s="26" t="inlineStr">
        <is>
          <t>Siniestralidad (por bus por año)</t>
        </is>
      </c>
      <c r="B24" s="27" t="n"/>
      <c r="C24" s="27" t="n"/>
      <c r="D24" s="27" t="n"/>
      <c r="E24" s="27" t="n"/>
      <c r="F24" s="27" t="n"/>
    </row>
    <row r="25">
      <c r="A25" s="8" t="inlineStr">
        <is>
          <t>Siniestros solo con daños materiales</t>
        </is>
      </c>
      <c r="B25" s="57" t="n">
        <v>0.3</v>
      </c>
      <c r="C25" s="57" t="n">
        <v>0.2</v>
      </c>
      <c r="D25" s="57" t="n">
        <v>0.15</v>
      </c>
      <c r="E25" s="47">
        <f>INDEX(B25:D25,1,$B$4)</f>
        <v/>
      </c>
      <c r="F25" s="7" t="inlineStr">
        <is>
          <t>eventos/bus/año [SUPUESTO — reemplazar con datos reales de la cooperativa]</t>
        </is>
      </c>
    </row>
    <row r="26">
      <c r="A26" s="8" t="inlineStr">
        <is>
          <t>Siniestros con lesionados</t>
        </is>
      </c>
      <c r="B26" s="57" t="n">
        <v>0.08</v>
      </c>
      <c r="C26" s="57" t="n">
        <v>0.06</v>
      </c>
      <c r="D26" s="57" t="n">
        <v>0.04</v>
      </c>
      <c r="E26" s="47">
        <f>INDEX(B26:D26,1,$B$4)</f>
        <v/>
      </c>
      <c r="F26" s="7" t="inlineStr">
        <is>
          <t>eventos/bus/año [SUPUESTO]</t>
        </is>
      </c>
    </row>
    <row r="27">
      <c r="A27" s="8" t="inlineStr">
        <is>
          <t>Siniestros con fallecidos</t>
        </is>
      </c>
      <c r="B27" s="59" t="n">
        <v>0.015</v>
      </c>
      <c r="C27" s="59" t="n">
        <v>0.01</v>
      </c>
      <c r="D27" s="59" t="n">
        <v>0.007</v>
      </c>
      <c r="E27" s="60">
        <f>INDEX(B27:D27,1,$B$4)</f>
        <v/>
      </c>
      <c r="F27" s="7" t="inlineStr">
        <is>
          <t>eventos/bus/año [SUPUESTO]</t>
        </is>
      </c>
    </row>
    <row r="28">
      <c r="A28" s="8" t="inlineStr">
        <is>
          <t>Multas/citaciones que requieren gestión o impugnación</t>
        </is>
      </c>
      <c r="B28" s="61" t="n">
        <v>2</v>
      </c>
      <c r="C28" s="61" t="n">
        <v>1.5</v>
      </c>
      <c r="D28" s="61" t="n">
        <v>1</v>
      </c>
      <c r="E28" s="47">
        <f>INDEX(B28:D28,1,$B$4)</f>
        <v/>
      </c>
      <c r="F28" s="7" t="inlineStr">
        <is>
          <t>eventos/bus/año</t>
        </is>
      </c>
    </row>
    <row r="29">
      <c r="A29" s="26" t="inlineStr">
        <is>
          <t>Horas de abogado por evento</t>
        </is>
      </c>
      <c r="B29" s="27" t="n"/>
      <c r="C29" s="27" t="n"/>
      <c r="D29" s="27" t="n"/>
      <c r="E29" s="27" t="n"/>
      <c r="F29" s="27" t="n"/>
    </row>
    <row r="30">
      <c r="A30" s="8" t="inlineStr">
        <is>
          <t>Asesoría societaria/LOEPS por cooperativa</t>
        </is>
      </c>
      <c r="B30" s="61" t="n">
        <v>12</v>
      </c>
      <c r="C30" s="61" t="n">
        <v>10</v>
      </c>
      <c r="D30" s="61" t="n">
        <v>8</v>
      </c>
      <c r="E30" s="47">
        <f>INDEX(B30:D30,1,$B$4)</f>
        <v/>
      </c>
      <c r="F30" s="7" t="inlineStr">
        <is>
          <t>horas/mes por cooperativa (asambleas, estatutos, SEPS, ANT)</t>
        </is>
      </c>
    </row>
    <row r="31">
      <c r="A31" s="8" t="inlineStr">
        <is>
          <t>Siniestro con daños materiales</t>
        </is>
      </c>
      <c r="B31" s="61" t="n">
        <v>10</v>
      </c>
      <c r="C31" s="61" t="n">
        <v>8</v>
      </c>
      <c r="D31" s="61" t="n">
        <v>6</v>
      </c>
      <c r="E31" s="47">
        <f>INDEX(B31:D31,1,$B$4)</f>
        <v/>
      </c>
      <c r="F31" s="7" t="inlineStr">
        <is>
          <t>horas (flagrancia, acuerdo, devolución del bus)</t>
        </is>
      </c>
    </row>
    <row r="32">
      <c r="A32" s="8" t="inlineStr">
        <is>
          <t>Siniestro con lesionados</t>
        </is>
      </c>
      <c r="B32" s="61" t="n">
        <v>35</v>
      </c>
      <c r="C32" s="61" t="n">
        <v>25</v>
      </c>
      <c r="D32" s="61" t="n">
        <v>20</v>
      </c>
      <c r="E32" s="47">
        <f>INDEX(B32:D32,1,$B$4)</f>
        <v/>
      </c>
      <c r="F32" s="7" t="inlineStr">
        <is>
          <t>horas</t>
        </is>
      </c>
    </row>
    <row r="33">
      <c r="A33" s="8" t="inlineStr">
        <is>
          <t>Siniestro con fallecidos</t>
        </is>
      </c>
      <c r="B33" s="57" t="n">
        <v>120</v>
      </c>
      <c r="C33" s="57" t="n">
        <v>80</v>
      </c>
      <c r="D33" s="57" t="n">
        <v>60</v>
      </c>
      <c r="E33" s="47">
        <f>INDEX(B33:D33,1,$B$4)</f>
        <v/>
      </c>
      <c r="F33" s="7" t="inlineStr">
        <is>
          <t>horas (todo el proceso; puede ser mucho más)</t>
        </is>
      </c>
    </row>
    <row r="34">
      <c r="A34" s="8" t="inlineStr">
        <is>
          <t>Multa / citación</t>
        </is>
      </c>
      <c r="B34" s="61" t="n">
        <v>1.5</v>
      </c>
      <c r="C34" s="61" t="n">
        <v>1.5</v>
      </c>
      <c r="D34" s="61" t="n">
        <v>1</v>
      </c>
      <c r="E34" s="47">
        <f>INDEX(B34:D34,1,$B$4)</f>
        <v/>
      </c>
      <c r="F34" s="7" t="inlineStr">
        <is>
          <t>horas</t>
        </is>
      </c>
    </row>
    <row r="35">
      <c r="A35" s="26" t="inlineStr">
        <is>
          <t>Gastos directos por evento (movilización, copias, notaría, trámites)</t>
        </is>
      </c>
      <c r="B35" s="27" t="n"/>
      <c r="C35" s="27" t="n"/>
      <c r="D35" s="27" t="n"/>
      <c r="E35" s="27" t="n"/>
      <c r="F35" s="27" t="n"/>
    </row>
    <row r="36">
      <c r="A36" s="8" t="inlineStr">
        <is>
          <t>Siniestro con daños materiales</t>
        </is>
      </c>
      <c r="B36" s="33" t="n">
        <v>40</v>
      </c>
      <c r="C36" s="33" t="n">
        <v>30</v>
      </c>
      <c r="D36" s="33" t="n">
        <v>25</v>
      </c>
      <c r="E36" s="11">
        <f>INDEX(B36:D36,1,$B$4)</f>
        <v/>
      </c>
      <c r="F36" s="7" t="inlineStr">
        <is>
          <t>USD/evento</t>
        </is>
      </c>
    </row>
    <row r="37">
      <c r="A37" s="8" t="inlineStr">
        <is>
          <t>Siniestro con lesionados</t>
        </is>
      </c>
      <c r="B37" s="33" t="n">
        <v>100</v>
      </c>
      <c r="C37" s="33" t="n">
        <v>80</v>
      </c>
      <c r="D37" s="33" t="n">
        <v>60</v>
      </c>
      <c r="E37" s="11">
        <f>INDEX(B37:D37,1,$B$4)</f>
        <v/>
      </c>
      <c r="F37" s="7" t="inlineStr">
        <is>
          <t>USD/evento</t>
        </is>
      </c>
    </row>
    <row r="38">
      <c r="A38" s="8" t="inlineStr">
        <is>
          <t>Siniestro con fallecidos</t>
        </is>
      </c>
      <c r="B38" s="33" t="n">
        <v>300</v>
      </c>
      <c r="C38" s="33" t="n">
        <v>250</v>
      </c>
      <c r="D38" s="33" t="n">
        <v>200</v>
      </c>
      <c r="E38" s="11">
        <f>INDEX(B38:D38,1,$B$4)</f>
        <v/>
      </c>
      <c r="F38" s="7" t="inlineStr">
        <is>
          <t>USD/evento (peritajes privados NO incluidos: los paga el cliente)</t>
        </is>
      </c>
    </row>
    <row r="39">
      <c r="A39" s="26" t="inlineStr">
        <is>
          <t>Equipo y costos fijos mensuales</t>
        </is>
      </c>
      <c r="B39" s="27" t="n"/>
      <c r="C39" s="27" t="n"/>
      <c r="D39" s="27" t="n"/>
      <c r="E39" s="27" t="n"/>
      <c r="F39" s="27" t="n"/>
    </row>
    <row r="40">
      <c r="A40" s="8" t="inlineStr">
        <is>
          <t>Costo empresa por abogado dedicado</t>
        </is>
      </c>
      <c r="B40" s="29" t="n">
        <v>1450</v>
      </c>
      <c r="C40" s="29" t="n">
        <v>1400</v>
      </c>
      <c r="D40" s="29" t="n">
        <v>1350</v>
      </c>
      <c r="E40" s="11">
        <f>INDEX(B40:D40,1,$B$4)</f>
        <v/>
      </c>
      <c r="F40" s="7" t="inlineStr">
        <is>
          <t>USD/mes: sueldo ~1.050 + aportes IESS, décimos, fondos de reserva y vacaciones [SUPUESTO]</t>
        </is>
      </c>
    </row>
    <row r="41">
      <c r="A41" s="8" t="inlineStr">
        <is>
          <t>Horas productivas por abogado</t>
        </is>
      </c>
      <c r="B41" s="58" t="n">
        <v>120</v>
      </c>
      <c r="C41" s="58" t="n">
        <v>130</v>
      </c>
      <c r="D41" s="58" t="n">
        <v>140</v>
      </c>
      <c r="E41" s="48">
        <f>INDEX(B41:D41,1,$B$4)</f>
        <v/>
      </c>
      <c r="F41" s="7" t="inlineStr">
        <is>
          <t>horas/mes</t>
        </is>
      </c>
    </row>
    <row r="42">
      <c r="A42" s="8" t="inlineStr">
        <is>
          <t>Abogados dedicados mínimos</t>
        </is>
      </c>
      <c r="B42" s="58" t="n">
        <v>1</v>
      </c>
      <c r="C42" s="58" t="n">
        <v>1</v>
      </c>
      <c r="D42" s="58" t="n">
        <v>1</v>
      </c>
      <c r="E42" s="48">
        <f>INDEX(B42:D42,1,$B$4)</f>
        <v/>
      </c>
      <c r="F42" s="7" t="inlineStr">
        <is>
          <t>por cobertura 24/7 se recomienda 2 desde ~6 cooperativas</t>
        </is>
      </c>
    </row>
    <row r="43">
      <c r="A43" s="8" t="inlineStr">
        <is>
          <t>Tiempo del socio (costo de oportunidad)</t>
        </is>
      </c>
      <c r="B43" s="29" t="n">
        <v>800</v>
      </c>
      <c r="C43" s="29" t="n">
        <v>800</v>
      </c>
      <c r="D43" s="29" t="n">
        <v>800</v>
      </c>
      <c r="E43" s="11">
        <f>INDEX(B43:D43,1,$B$4)</f>
        <v/>
      </c>
      <c r="F43" s="7" t="inlineStr">
        <is>
          <t>USD/mes: su tiempo NO es gratis</t>
        </is>
      </c>
    </row>
    <row r="44">
      <c r="A44" s="8" t="inlineStr">
        <is>
          <t>Asistente administrativa (medio tiempo)</t>
        </is>
      </c>
      <c r="B44" s="33" t="n">
        <v>450</v>
      </c>
      <c r="C44" s="33" t="n">
        <v>450</v>
      </c>
      <c r="D44" s="33" t="n">
        <v>450</v>
      </c>
      <c r="E44" s="11">
        <f>INDEX(B44:D44,1,$B$4)</f>
        <v/>
      </c>
      <c r="F44" s="7" t="inlineStr">
        <is>
          <t>USD/mes</t>
        </is>
      </c>
    </row>
    <row r="45">
      <c r="A45" s="8" t="inlineStr">
        <is>
          <t>Bono de guardia 24/7 (noches y fines de semana)</t>
        </is>
      </c>
      <c r="B45" s="33" t="n">
        <v>300</v>
      </c>
      <c r="C45" s="33" t="n">
        <v>250</v>
      </c>
      <c r="D45" s="33" t="n">
        <v>250</v>
      </c>
      <c r="E45" s="11">
        <f>INDEX(B45:D45,1,$B$4)</f>
        <v/>
      </c>
      <c r="F45" s="7" t="inlineStr">
        <is>
          <t>USD/mes</t>
        </is>
      </c>
    </row>
    <row r="46">
      <c r="A46" s="8" t="inlineStr">
        <is>
          <t>Oficina (proporción)</t>
        </is>
      </c>
      <c r="B46" s="33" t="n">
        <v>250</v>
      </c>
      <c r="C46" s="33" t="n">
        <v>250</v>
      </c>
      <c r="D46" s="33" t="n">
        <v>250</v>
      </c>
      <c r="E46" s="11">
        <f>INDEX(B46:D46,1,$B$4)</f>
        <v/>
      </c>
      <c r="F46" s="7" t="inlineStr">
        <is>
          <t>USD/mes</t>
        </is>
      </c>
    </row>
    <row r="47">
      <c r="A47" s="8" t="inlineStr">
        <is>
          <t>Software, telefonía e internet</t>
        </is>
      </c>
      <c r="B47" s="33" t="n">
        <v>100</v>
      </c>
      <c r="C47" s="33" t="n">
        <v>100</v>
      </c>
      <c r="D47" s="33" t="n">
        <v>100</v>
      </c>
      <c r="E47" s="11">
        <f>INDEX(B47:D47,1,$B$4)</f>
        <v/>
      </c>
      <c r="F47" s="7" t="inlineStr">
        <is>
          <t>USD/mes</t>
        </is>
      </c>
    </row>
    <row r="48">
      <c r="A48" s="8" t="inlineStr">
        <is>
          <t>Movilización fija</t>
        </is>
      </c>
      <c r="B48" s="33" t="n">
        <v>150</v>
      </c>
      <c r="C48" s="33" t="n">
        <v>150</v>
      </c>
      <c r="D48" s="33" t="n">
        <v>150</v>
      </c>
      <c r="E48" s="11">
        <f>INDEX(B48:D48,1,$B$4)</f>
        <v/>
      </c>
      <c r="F48" s="7" t="inlineStr">
        <is>
          <t>USD/mes</t>
        </is>
      </c>
    </row>
    <row r="49">
      <c r="A49" s="8" t="inlineStr">
        <is>
          <t>Marketing y relaciones con las cooperativas</t>
        </is>
      </c>
      <c r="B49" s="33" t="n">
        <v>400</v>
      </c>
      <c r="C49" s="33" t="n">
        <v>400</v>
      </c>
      <c r="D49" s="33" t="n">
        <v>400</v>
      </c>
      <c r="E49" s="11">
        <f>INDEX(B49:D49,1,$B$4)</f>
        <v/>
      </c>
      <c r="F49" s="7" t="inlineStr">
        <is>
          <t>USD/mes</t>
        </is>
      </c>
    </row>
    <row r="50">
      <c r="A50" s="8" t="inlineStr">
        <is>
          <t>Contabilidad y otros</t>
        </is>
      </c>
      <c r="B50" s="33" t="n">
        <v>100</v>
      </c>
      <c r="C50" s="33" t="n">
        <v>100</v>
      </c>
      <c r="D50" s="33" t="n">
        <v>100</v>
      </c>
      <c r="E50" s="11">
        <f>INDEX(B50:D50,1,$B$4)</f>
        <v/>
      </c>
      <c r="F50" s="7" t="inlineStr">
        <is>
          <t>USD/mes</t>
        </is>
      </c>
    </row>
    <row r="51">
      <c r="A51" s="26" t="inlineStr">
        <is>
          <t>Inversión, impuestos y tasa de descuento</t>
        </is>
      </c>
      <c r="B51" s="27" t="n"/>
      <c r="C51" s="27" t="n"/>
      <c r="D51" s="27" t="n"/>
      <c r="E51" s="27" t="n"/>
      <c r="F51" s="27" t="n"/>
    </row>
    <row r="52">
      <c r="A52" s="8" t="inlineStr">
        <is>
          <t>Inversión inicial</t>
        </is>
      </c>
      <c r="B52" s="29" t="n">
        <v>8000</v>
      </c>
      <c r="C52" s="29" t="n">
        <v>8000</v>
      </c>
      <c r="D52" s="29" t="n">
        <v>8000</v>
      </c>
      <c r="E52" s="11">
        <f>INDEX(B52:D52,1,$B$4)</f>
        <v/>
      </c>
      <c r="F52" s="7" t="inlineStr">
        <is>
          <t>contratos y protocolos, web, equipos, lanzamiento [SUPUESTO]</t>
        </is>
      </c>
    </row>
    <row r="53">
      <c r="A53" s="8" t="inlineStr">
        <is>
          <t>Tasa efectiva: 15% participación trabajadores + 25% IR</t>
        </is>
      </c>
      <c r="B53" s="56" t="n">
        <v>0.3625</v>
      </c>
      <c r="C53" s="56" t="n">
        <v>0.3625</v>
      </c>
      <c r="D53" s="56" t="n">
        <v>0.3625</v>
      </c>
      <c r="E53" s="42">
        <f>INDEX(B53:D53,1,$B$4)</f>
        <v/>
      </c>
      <c r="F53" s="7" t="inlineStr">
        <is>
          <t>si factura una sociedad; persona natural es distinto</t>
        </is>
      </c>
    </row>
    <row r="54">
      <c r="A54" s="8" t="inlineStr">
        <is>
          <t>Tasa de descuento anual (costo de oportunidad)</t>
        </is>
      </c>
      <c r="B54" s="56" t="n">
        <v>0.15</v>
      </c>
      <c r="C54" s="56" t="n">
        <v>0.15</v>
      </c>
      <c r="D54" s="56" t="n">
        <v>0.15</v>
      </c>
      <c r="E54" s="42">
        <f>INDEX(B54:D54,1,$B$4)</f>
        <v/>
      </c>
      <c r="F54" s="7" t="inlineStr">
        <is>
          <t>para el VAN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1">
      <c r="A1" s="1" t="inlineStr">
        <is>
          <t>Flujo de caja mensual (escenario activo)</t>
        </is>
      </c>
    </row>
    <row r="2">
      <c r="A2" s="5" t="inlineStr">
        <is>
          <t>Mes →</t>
        </is>
      </c>
    </row>
    <row r="3">
      <c r="A3" s="3" t="inlineStr">
        <is>
          <t>Concepto</t>
        </is>
      </c>
      <c r="B3" s="40" t="n">
        <v>0</v>
      </c>
      <c r="C3" s="40" t="n">
        <v>1</v>
      </c>
      <c r="D3" s="40" t="n">
        <v>2</v>
      </c>
      <c r="E3" s="40" t="n">
        <v>3</v>
      </c>
      <c r="F3" s="40" t="n">
        <v>4</v>
      </c>
      <c r="G3" s="40" t="n">
        <v>5</v>
      </c>
      <c r="H3" s="40" t="n">
        <v>6</v>
      </c>
      <c r="I3" s="40" t="n">
        <v>7</v>
      </c>
      <c r="J3" s="40" t="n">
        <v>8</v>
      </c>
      <c r="K3" s="40" t="n">
        <v>9</v>
      </c>
      <c r="L3" s="40" t="n">
        <v>10</v>
      </c>
      <c r="M3" s="40" t="n">
        <v>11</v>
      </c>
      <c r="N3" s="40" t="n">
        <v>12</v>
      </c>
      <c r="O3" s="40" t="n">
        <v>13</v>
      </c>
      <c r="P3" s="40" t="n">
        <v>14</v>
      </c>
      <c r="Q3" s="40" t="n">
        <v>15</v>
      </c>
      <c r="R3" s="40" t="n">
        <v>16</v>
      </c>
      <c r="S3" s="40" t="n">
        <v>17</v>
      </c>
      <c r="T3" s="40" t="n">
        <v>18</v>
      </c>
      <c r="U3" s="40" t="n">
        <v>19</v>
      </c>
      <c r="V3" s="40" t="n">
        <v>20</v>
      </c>
      <c r="W3" s="40" t="n">
        <v>21</v>
      </c>
      <c r="X3" s="40" t="n">
        <v>22</v>
      </c>
      <c r="Y3" s="40" t="n">
        <v>23</v>
      </c>
      <c r="Z3" s="40" t="n">
        <v>24</v>
      </c>
      <c r="AA3" s="40" t="n">
        <v>25</v>
      </c>
      <c r="AB3" s="40" t="n">
        <v>26</v>
      </c>
      <c r="AC3" s="40" t="n">
        <v>27</v>
      </c>
      <c r="AD3" s="40" t="n">
        <v>28</v>
      </c>
      <c r="AE3" s="40" t="n">
        <v>29</v>
      </c>
      <c r="AF3" s="40" t="n">
        <v>30</v>
      </c>
      <c r="AG3" s="40" t="n">
        <v>31</v>
      </c>
      <c r="AH3" s="40" t="n">
        <v>32</v>
      </c>
      <c r="AI3" s="40" t="n">
        <v>33</v>
      </c>
      <c r="AJ3" s="40" t="n">
        <v>34</v>
      </c>
      <c r="AK3" s="40" t="n">
        <v>35</v>
      </c>
      <c r="AL3" s="40" t="n">
        <v>36</v>
      </c>
    </row>
    <row r="4">
      <c r="A4" s="8" t="inlineStr">
        <is>
          <t>Cooperativas activas</t>
        </is>
      </c>
      <c r="B4" s="44" t="n">
        <v>0</v>
      </c>
      <c r="C4" s="44">
        <f>MIN(Supuestos!$E$23,B4*(1-Supuestos!$E$22/12)+Supuestos!$E$21)</f>
        <v/>
      </c>
      <c r="D4" s="44">
        <f>MIN(Supuestos!$E$23,C4*(1-Supuestos!$E$22/12)+Supuestos!$E$21)</f>
        <v/>
      </c>
      <c r="E4" s="44">
        <f>MIN(Supuestos!$E$23,D4*(1-Supuestos!$E$22/12)+Supuestos!$E$21)</f>
        <v/>
      </c>
      <c r="F4" s="44">
        <f>MIN(Supuestos!$E$23,E4*(1-Supuestos!$E$22/12)+Supuestos!$E$21)</f>
        <v/>
      </c>
      <c r="G4" s="44">
        <f>MIN(Supuestos!$E$23,F4*(1-Supuestos!$E$22/12)+Supuestos!$E$21)</f>
        <v/>
      </c>
      <c r="H4" s="44">
        <f>MIN(Supuestos!$E$23,G4*(1-Supuestos!$E$22/12)+Supuestos!$E$21)</f>
        <v/>
      </c>
      <c r="I4" s="44">
        <f>MIN(Supuestos!$E$23,H4*(1-Supuestos!$E$22/12)+Supuestos!$E$21)</f>
        <v/>
      </c>
      <c r="J4" s="44">
        <f>MIN(Supuestos!$E$23,I4*(1-Supuestos!$E$22/12)+Supuestos!$E$21)</f>
        <v/>
      </c>
      <c r="K4" s="44">
        <f>MIN(Supuestos!$E$23,J4*(1-Supuestos!$E$22/12)+Supuestos!$E$21)</f>
        <v/>
      </c>
      <c r="L4" s="44">
        <f>MIN(Supuestos!$E$23,K4*(1-Supuestos!$E$22/12)+Supuestos!$E$21)</f>
        <v/>
      </c>
      <c r="M4" s="44">
        <f>MIN(Supuestos!$E$23,L4*(1-Supuestos!$E$22/12)+Supuestos!$E$21)</f>
        <v/>
      </c>
      <c r="N4" s="44">
        <f>MIN(Supuestos!$E$23,M4*(1-Supuestos!$E$22/12)+Supuestos!$E$21)</f>
        <v/>
      </c>
      <c r="O4" s="44">
        <f>MIN(Supuestos!$E$23,N4*(1-Supuestos!$E$22/12)+Supuestos!$E$21)</f>
        <v/>
      </c>
      <c r="P4" s="44">
        <f>MIN(Supuestos!$E$23,O4*(1-Supuestos!$E$22/12)+Supuestos!$E$21)</f>
        <v/>
      </c>
      <c r="Q4" s="44">
        <f>MIN(Supuestos!$E$23,P4*(1-Supuestos!$E$22/12)+Supuestos!$E$21)</f>
        <v/>
      </c>
      <c r="R4" s="44">
        <f>MIN(Supuestos!$E$23,Q4*(1-Supuestos!$E$22/12)+Supuestos!$E$21)</f>
        <v/>
      </c>
      <c r="S4" s="44">
        <f>MIN(Supuestos!$E$23,R4*(1-Supuestos!$E$22/12)+Supuestos!$E$21)</f>
        <v/>
      </c>
      <c r="T4" s="44">
        <f>MIN(Supuestos!$E$23,S4*(1-Supuestos!$E$22/12)+Supuestos!$E$21)</f>
        <v/>
      </c>
      <c r="U4" s="44">
        <f>MIN(Supuestos!$E$23,T4*(1-Supuestos!$E$22/12)+Supuestos!$E$21)</f>
        <v/>
      </c>
      <c r="V4" s="44">
        <f>MIN(Supuestos!$E$23,U4*(1-Supuestos!$E$22/12)+Supuestos!$E$21)</f>
        <v/>
      </c>
      <c r="W4" s="44">
        <f>MIN(Supuestos!$E$23,V4*(1-Supuestos!$E$22/12)+Supuestos!$E$21)</f>
        <v/>
      </c>
      <c r="X4" s="44">
        <f>MIN(Supuestos!$E$23,W4*(1-Supuestos!$E$22/12)+Supuestos!$E$21)</f>
        <v/>
      </c>
      <c r="Y4" s="44">
        <f>MIN(Supuestos!$E$23,X4*(1-Supuestos!$E$22/12)+Supuestos!$E$21)</f>
        <v/>
      </c>
      <c r="Z4" s="44">
        <f>MIN(Supuestos!$E$23,Y4*(1-Supuestos!$E$22/12)+Supuestos!$E$21)</f>
        <v/>
      </c>
      <c r="AA4" s="44">
        <f>MIN(Supuestos!$E$23,Z4*(1-Supuestos!$E$22/12)+Supuestos!$E$21)</f>
        <v/>
      </c>
      <c r="AB4" s="44">
        <f>MIN(Supuestos!$E$23,AA4*(1-Supuestos!$E$22/12)+Supuestos!$E$21)</f>
        <v/>
      </c>
      <c r="AC4" s="44">
        <f>MIN(Supuestos!$E$23,AB4*(1-Supuestos!$E$22/12)+Supuestos!$E$21)</f>
        <v/>
      </c>
      <c r="AD4" s="44">
        <f>MIN(Supuestos!$E$23,AC4*(1-Supuestos!$E$22/12)+Supuestos!$E$21)</f>
        <v/>
      </c>
      <c r="AE4" s="44">
        <f>MIN(Supuestos!$E$23,AD4*(1-Supuestos!$E$22/12)+Supuestos!$E$21)</f>
        <v/>
      </c>
      <c r="AF4" s="44">
        <f>MIN(Supuestos!$E$23,AE4*(1-Supuestos!$E$22/12)+Supuestos!$E$21)</f>
        <v/>
      </c>
      <c r="AG4" s="44">
        <f>MIN(Supuestos!$E$23,AF4*(1-Supuestos!$E$22/12)+Supuestos!$E$21)</f>
        <v/>
      </c>
      <c r="AH4" s="44">
        <f>MIN(Supuestos!$E$23,AG4*(1-Supuestos!$E$22/12)+Supuestos!$E$21)</f>
        <v/>
      </c>
      <c r="AI4" s="44">
        <f>MIN(Supuestos!$E$23,AH4*(1-Supuestos!$E$22/12)+Supuestos!$E$21)</f>
        <v/>
      </c>
      <c r="AJ4" s="44">
        <f>MIN(Supuestos!$E$23,AI4*(1-Supuestos!$E$22/12)+Supuestos!$E$21)</f>
        <v/>
      </c>
      <c r="AK4" s="44">
        <f>MIN(Supuestos!$E$23,AJ4*(1-Supuestos!$E$22/12)+Supuestos!$E$21)</f>
        <v/>
      </c>
      <c r="AL4" s="44">
        <f>MIN(Supuestos!$E$23,AK4*(1-Supuestos!$E$22/12)+Supuestos!$E$21)</f>
        <v/>
      </c>
    </row>
    <row r="5">
      <c r="A5" s="8" t="inlineStr">
        <is>
          <t>Buses atendidos</t>
        </is>
      </c>
      <c r="B5" s="43" t="n">
        <v>0</v>
      </c>
      <c r="C5" s="43">
        <f>C4*Supuestos!$E$8</f>
        <v/>
      </c>
      <c r="D5" s="43">
        <f>D4*Supuestos!$E$8</f>
        <v/>
      </c>
      <c r="E5" s="43">
        <f>E4*Supuestos!$E$8</f>
        <v/>
      </c>
      <c r="F5" s="43">
        <f>F4*Supuestos!$E$8</f>
        <v/>
      </c>
      <c r="G5" s="43">
        <f>G4*Supuestos!$E$8</f>
        <v/>
      </c>
      <c r="H5" s="43">
        <f>H4*Supuestos!$E$8</f>
        <v/>
      </c>
      <c r="I5" s="43">
        <f>I4*Supuestos!$E$8</f>
        <v/>
      </c>
      <c r="J5" s="43">
        <f>J4*Supuestos!$E$8</f>
        <v/>
      </c>
      <c r="K5" s="43">
        <f>K4*Supuestos!$E$8</f>
        <v/>
      </c>
      <c r="L5" s="43">
        <f>L4*Supuestos!$E$8</f>
        <v/>
      </c>
      <c r="M5" s="43">
        <f>M4*Supuestos!$E$8</f>
        <v/>
      </c>
      <c r="N5" s="43">
        <f>N4*Supuestos!$E$8</f>
        <v/>
      </c>
      <c r="O5" s="43">
        <f>O4*Supuestos!$E$8</f>
        <v/>
      </c>
      <c r="P5" s="43">
        <f>P4*Supuestos!$E$8</f>
        <v/>
      </c>
      <c r="Q5" s="43">
        <f>Q4*Supuestos!$E$8</f>
        <v/>
      </c>
      <c r="R5" s="43">
        <f>R4*Supuestos!$E$8</f>
        <v/>
      </c>
      <c r="S5" s="43">
        <f>S4*Supuestos!$E$8</f>
        <v/>
      </c>
      <c r="T5" s="43">
        <f>T4*Supuestos!$E$8</f>
        <v/>
      </c>
      <c r="U5" s="43">
        <f>U4*Supuestos!$E$8</f>
        <v/>
      </c>
      <c r="V5" s="43">
        <f>V4*Supuestos!$E$8</f>
        <v/>
      </c>
      <c r="W5" s="43">
        <f>W4*Supuestos!$E$8</f>
        <v/>
      </c>
      <c r="X5" s="43">
        <f>X4*Supuestos!$E$8</f>
        <v/>
      </c>
      <c r="Y5" s="43">
        <f>Y4*Supuestos!$E$8</f>
        <v/>
      </c>
      <c r="Z5" s="43">
        <f>Z4*Supuestos!$E$8</f>
        <v/>
      </c>
      <c r="AA5" s="43">
        <f>AA4*Supuestos!$E$8</f>
        <v/>
      </c>
      <c r="AB5" s="43">
        <f>AB4*Supuestos!$E$8</f>
        <v/>
      </c>
      <c r="AC5" s="43">
        <f>AC4*Supuestos!$E$8</f>
        <v/>
      </c>
      <c r="AD5" s="43">
        <f>AD4*Supuestos!$E$8</f>
        <v/>
      </c>
      <c r="AE5" s="43">
        <f>AE4*Supuestos!$E$8</f>
        <v/>
      </c>
      <c r="AF5" s="43">
        <f>AF4*Supuestos!$E$8</f>
        <v/>
      </c>
      <c r="AG5" s="43">
        <f>AG4*Supuestos!$E$8</f>
        <v/>
      </c>
      <c r="AH5" s="43">
        <f>AH4*Supuestos!$E$8</f>
        <v/>
      </c>
      <c r="AI5" s="43">
        <f>AI4*Supuestos!$E$8</f>
        <v/>
      </c>
      <c r="AJ5" s="43">
        <f>AJ4*Supuestos!$E$8</f>
        <v/>
      </c>
      <c r="AK5" s="43">
        <f>AK4*Supuestos!$E$8</f>
        <v/>
      </c>
      <c r="AL5" s="43">
        <f>AL4*Supuestos!$E$8</f>
        <v/>
      </c>
    </row>
    <row r="6">
      <c r="A6" s="8" t="inlineStr">
        <is>
          <t>Factor de reajuste de precio</t>
        </is>
      </c>
      <c r="B6" s="62" t="n">
        <v>0</v>
      </c>
      <c r="C6" s="62">
        <f>(1+Supuestos!$E$17)^INT((C$3-1)/12)</f>
        <v/>
      </c>
      <c r="D6" s="62">
        <f>(1+Supuestos!$E$17)^INT((D$3-1)/12)</f>
        <v/>
      </c>
      <c r="E6" s="62">
        <f>(1+Supuestos!$E$17)^INT((E$3-1)/12)</f>
        <v/>
      </c>
      <c r="F6" s="62">
        <f>(1+Supuestos!$E$17)^INT((F$3-1)/12)</f>
        <v/>
      </c>
      <c r="G6" s="62">
        <f>(1+Supuestos!$E$17)^INT((G$3-1)/12)</f>
        <v/>
      </c>
      <c r="H6" s="62">
        <f>(1+Supuestos!$E$17)^INT((H$3-1)/12)</f>
        <v/>
      </c>
      <c r="I6" s="62">
        <f>(1+Supuestos!$E$17)^INT((I$3-1)/12)</f>
        <v/>
      </c>
      <c r="J6" s="62">
        <f>(1+Supuestos!$E$17)^INT((J$3-1)/12)</f>
        <v/>
      </c>
      <c r="K6" s="62">
        <f>(1+Supuestos!$E$17)^INT((K$3-1)/12)</f>
        <v/>
      </c>
      <c r="L6" s="62">
        <f>(1+Supuestos!$E$17)^INT((L$3-1)/12)</f>
        <v/>
      </c>
      <c r="M6" s="62">
        <f>(1+Supuestos!$E$17)^INT((M$3-1)/12)</f>
        <v/>
      </c>
      <c r="N6" s="62">
        <f>(1+Supuestos!$E$17)^INT((N$3-1)/12)</f>
        <v/>
      </c>
      <c r="O6" s="62">
        <f>(1+Supuestos!$E$17)^INT((O$3-1)/12)</f>
        <v/>
      </c>
      <c r="P6" s="62">
        <f>(1+Supuestos!$E$17)^INT((P$3-1)/12)</f>
        <v/>
      </c>
      <c r="Q6" s="62">
        <f>(1+Supuestos!$E$17)^INT((Q$3-1)/12)</f>
        <v/>
      </c>
      <c r="R6" s="62">
        <f>(1+Supuestos!$E$17)^INT((R$3-1)/12)</f>
        <v/>
      </c>
      <c r="S6" s="62">
        <f>(1+Supuestos!$E$17)^INT((S$3-1)/12)</f>
        <v/>
      </c>
      <c r="T6" s="62">
        <f>(1+Supuestos!$E$17)^INT((T$3-1)/12)</f>
        <v/>
      </c>
      <c r="U6" s="62">
        <f>(1+Supuestos!$E$17)^INT((U$3-1)/12)</f>
        <v/>
      </c>
      <c r="V6" s="62">
        <f>(1+Supuestos!$E$17)^INT((V$3-1)/12)</f>
        <v/>
      </c>
      <c r="W6" s="62">
        <f>(1+Supuestos!$E$17)^INT((W$3-1)/12)</f>
        <v/>
      </c>
      <c r="X6" s="62">
        <f>(1+Supuestos!$E$17)^INT((X$3-1)/12)</f>
        <v/>
      </c>
      <c r="Y6" s="62">
        <f>(1+Supuestos!$E$17)^INT((Y$3-1)/12)</f>
        <v/>
      </c>
      <c r="Z6" s="62">
        <f>(1+Supuestos!$E$17)^INT((Z$3-1)/12)</f>
        <v/>
      </c>
      <c r="AA6" s="62">
        <f>(1+Supuestos!$E$17)^INT((AA$3-1)/12)</f>
        <v/>
      </c>
      <c r="AB6" s="62">
        <f>(1+Supuestos!$E$17)^INT((AB$3-1)/12)</f>
        <v/>
      </c>
      <c r="AC6" s="62">
        <f>(1+Supuestos!$E$17)^INT((AC$3-1)/12)</f>
        <v/>
      </c>
      <c r="AD6" s="62">
        <f>(1+Supuestos!$E$17)^INT((AD$3-1)/12)</f>
        <v/>
      </c>
      <c r="AE6" s="62">
        <f>(1+Supuestos!$E$17)^INT((AE$3-1)/12)</f>
        <v/>
      </c>
      <c r="AF6" s="62">
        <f>(1+Supuestos!$E$17)^INT((AF$3-1)/12)</f>
        <v/>
      </c>
      <c r="AG6" s="62">
        <f>(1+Supuestos!$E$17)^INT((AG$3-1)/12)</f>
        <v/>
      </c>
      <c r="AH6" s="62">
        <f>(1+Supuestos!$E$17)^INT((AH$3-1)/12)</f>
        <v/>
      </c>
      <c r="AI6" s="62">
        <f>(1+Supuestos!$E$17)^INT((AI$3-1)/12)</f>
        <v/>
      </c>
      <c r="AJ6" s="62">
        <f>(1+Supuestos!$E$17)^INT((AJ$3-1)/12)</f>
        <v/>
      </c>
      <c r="AK6" s="62">
        <f>(1+Supuestos!$E$17)^INT((AK$3-1)/12)</f>
        <v/>
      </c>
      <c r="AL6" s="62">
        <f>(1+Supuestos!$E$17)^INT((AL$3-1)/12)</f>
        <v/>
      </c>
    </row>
    <row r="7">
      <c r="A7" s="8" t="inlineStr">
        <is>
          <t>Ingreso facturado</t>
        </is>
      </c>
      <c r="B7" s="13" t="n">
        <v>0</v>
      </c>
      <c r="C7" s="13">
        <f>(C4*Supuestos!$E$9+C5*Supuestos!$E$10)*C6*(1-Supuestos!$E$18*Supuestos!$E$19)</f>
        <v/>
      </c>
      <c r="D7" s="13">
        <f>(D4*Supuestos!$E$9+D5*Supuestos!$E$10)*D6*(1-Supuestos!$E$18*Supuestos!$E$19)</f>
        <v/>
      </c>
      <c r="E7" s="13">
        <f>(E4*Supuestos!$E$9+E5*Supuestos!$E$10)*E6*(1-Supuestos!$E$18*Supuestos!$E$19)</f>
        <v/>
      </c>
      <c r="F7" s="13">
        <f>(F4*Supuestos!$E$9+F5*Supuestos!$E$10)*F6*(1-Supuestos!$E$18*Supuestos!$E$19)</f>
        <v/>
      </c>
      <c r="G7" s="13">
        <f>(G4*Supuestos!$E$9+G5*Supuestos!$E$10)*G6*(1-Supuestos!$E$18*Supuestos!$E$19)</f>
        <v/>
      </c>
      <c r="H7" s="13">
        <f>(H4*Supuestos!$E$9+H5*Supuestos!$E$10)*H6*(1-Supuestos!$E$18*Supuestos!$E$19)</f>
        <v/>
      </c>
      <c r="I7" s="13">
        <f>(I4*Supuestos!$E$9+I5*Supuestos!$E$10)*I6*(1-Supuestos!$E$18*Supuestos!$E$19)</f>
        <v/>
      </c>
      <c r="J7" s="13">
        <f>(J4*Supuestos!$E$9+J5*Supuestos!$E$10)*J6*(1-Supuestos!$E$18*Supuestos!$E$19)</f>
        <v/>
      </c>
      <c r="K7" s="13">
        <f>(K4*Supuestos!$E$9+K5*Supuestos!$E$10)*K6*(1-Supuestos!$E$18*Supuestos!$E$19)</f>
        <v/>
      </c>
      <c r="L7" s="13">
        <f>(L4*Supuestos!$E$9+L5*Supuestos!$E$10)*L6*(1-Supuestos!$E$18*Supuestos!$E$19)</f>
        <v/>
      </c>
      <c r="M7" s="13">
        <f>(M4*Supuestos!$E$9+M5*Supuestos!$E$10)*M6*(1-Supuestos!$E$18*Supuestos!$E$19)</f>
        <v/>
      </c>
      <c r="N7" s="13">
        <f>(N4*Supuestos!$E$9+N5*Supuestos!$E$10)*N6*(1-Supuestos!$E$18*Supuestos!$E$19)</f>
        <v/>
      </c>
      <c r="O7" s="13">
        <f>(O4*Supuestos!$E$9+O5*Supuestos!$E$10)*O6*(1-Supuestos!$E$18*Supuestos!$E$19)</f>
        <v/>
      </c>
      <c r="P7" s="13">
        <f>(P4*Supuestos!$E$9+P5*Supuestos!$E$10)*P6*(1-Supuestos!$E$18*Supuestos!$E$19)</f>
        <v/>
      </c>
      <c r="Q7" s="13">
        <f>(Q4*Supuestos!$E$9+Q5*Supuestos!$E$10)*Q6*(1-Supuestos!$E$18*Supuestos!$E$19)</f>
        <v/>
      </c>
      <c r="R7" s="13">
        <f>(R4*Supuestos!$E$9+R5*Supuestos!$E$10)*R6*(1-Supuestos!$E$18*Supuestos!$E$19)</f>
        <v/>
      </c>
      <c r="S7" s="13">
        <f>(S4*Supuestos!$E$9+S5*Supuestos!$E$10)*S6*(1-Supuestos!$E$18*Supuestos!$E$19)</f>
        <v/>
      </c>
      <c r="T7" s="13">
        <f>(T4*Supuestos!$E$9+T5*Supuestos!$E$10)*T6*(1-Supuestos!$E$18*Supuestos!$E$19)</f>
        <v/>
      </c>
      <c r="U7" s="13">
        <f>(U4*Supuestos!$E$9+U5*Supuestos!$E$10)*U6*(1-Supuestos!$E$18*Supuestos!$E$19)</f>
        <v/>
      </c>
      <c r="V7" s="13">
        <f>(V4*Supuestos!$E$9+V5*Supuestos!$E$10)*V6*(1-Supuestos!$E$18*Supuestos!$E$19)</f>
        <v/>
      </c>
      <c r="W7" s="13">
        <f>(W4*Supuestos!$E$9+W5*Supuestos!$E$10)*W6*(1-Supuestos!$E$18*Supuestos!$E$19)</f>
        <v/>
      </c>
      <c r="X7" s="13">
        <f>(X4*Supuestos!$E$9+X5*Supuestos!$E$10)*X6*(1-Supuestos!$E$18*Supuestos!$E$19)</f>
        <v/>
      </c>
      <c r="Y7" s="13">
        <f>(Y4*Supuestos!$E$9+Y5*Supuestos!$E$10)*Y6*(1-Supuestos!$E$18*Supuestos!$E$19)</f>
        <v/>
      </c>
      <c r="Z7" s="13">
        <f>(Z4*Supuestos!$E$9+Z5*Supuestos!$E$10)*Z6*(1-Supuestos!$E$18*Supuestos!$E$19)</f>
        <v/>
      </c>
      <c r="AA7" s="13">
        <f>(AA4*Supuestos!$E$9+AA5*Supuestos!$E$10)*AA6*(1-Supuestos!$E$18*Supuestos!$E$19)</f>
        <v/>
      </c>
      <c r="AB7" s="13">
        <f>(AB4*Supuestos!$E$9+AB5*Supuestos!$E$10)*AB6*(1-Supuestos!$E$18*Supuestos!$E$19)</f>
        <v/>
      </c>
      <c r="AC7" s="13">
        <f>(AC4*Supuestos!$E$9+AC5*Supuestos!$E$10)*AC6*(1-Supuestos!$E$18*Supuestos!$E$19)</f>
        <v/>
      </c>
      <c r="AD7" s="13">
        <f>(AD4*Supuestos!$E$9+AD5*Supuestos!$E$10)*AD6*(1-Supuestos!$E$18*Supuestos!$E$19)</f>
        <v/>
      </c>
      <c r="AE7" s="13">
        <f>(AE4*Supuestos!$E$9+AE5*Supuestos!$E$10)*AE6*(1-Supuestos!$E$18*Supuestos!$E$19)</f>
        <v/>
      </c>
      <c r="AF7" s="13">
        <f>(AF4*Supuestos!$E$9+AF5*Supuestos!$E$10)*AF6*(1-Supuestos!$E$18*Supuestos!$E$19)</f>
        <v/>
      </c>
      <c r="AG7" s="13">
        <f>(AG4*Supuestos!$E$9+AG5*Supuestos!$E$10)*AG6*(1-Supuestos!$E$18*Supuestos!$E$19)</f>
        <v/>
      </c>
      <c r="AH7" s="13">
        <f>(AH4*Supuestos!$E$9+AH5*Supuestos!$E$10)*AH6*(1-Supuestos!$E$18*Supuestos!$E$19)</f>
        <v/>
      </c>
      <c r="AI7" s="13">
        <f>(AI4*Supuestos!$E$9+AI5*Supuestos!$E$10)*AI6*(1-Supuestos!$E$18*Supuestos!$E$19)</f>
        <v/>
      </c>
      <c r="AJ7" s="13">
        <f>(AJ4*Supuestos!$E$9+AJ5*Supuestos!$E$10)*AJ6*(1-Supuestos!$E$18*Supuestos!$E$19)</f>
        <v/>
      </c>
      <c r="AK7" s="13">
        <f>(AK4*Supuestos!$E$9+AK5*Supuestos!$E$10)*AK6*(1-Supuestos!$E$18*Supuestos!$E$19)</f>
        <v/>
      </c>
      <c r="AL7" s="13">
        <f>(AL4*Supuestos!$E$9+AL5*Supuestos!$E$10)*AL6*(1-Supuestos!$E$18*Supuestos!$E$19)</f>
        <v/>
      </c>
    </row>
    <row r="8">
      <c r="A8" s="5" t="inlineStr">
        <is>
          <t>Ingreso cobrado</t>
        </is>
      </c>
      <c r="B8" s="11" t="n">
        <v>0</v>
      </c>
      <c r="C8" s="11">
        <f>C7*(1-Supuestos!$E$20)</f>
        <v/>
      </c>
      <c r="D8" s="11">
        <f>D7*(1-Supuestos!$E$20)</f>
        <v/>
      </c>
      <c r="E8" s="11">
        <f>E7*(1-Supuestos!$E$20)</f>
        <v/>
      </c>
      <c r="F8" s="11">
        <f>F7*(1-Supuestos!$E$20)</f>
        <v/>
      </c>
      <c r="G8" s="11">
        <f>G7*(1-Supuestos!$E$20)</f>
        <v/>
      </c>
      <c r="H8" s="11">
        <f>H7*(1-Supuestos!$E$20)</f>
        <v/>
      </c>
      <c r="I8" s="11">
        <f>I7*(1-Supuestos!$E$20)</f>
        <v/>
      </c>
      <c r="J8" s="11">
        <f>J7*(1-Supuestos!$E$20)</f>
        <v/>
      </c>
      <c r="K8" s="11">
        <f>K7*(1-Supuestos!$E$20)</f>
        <v/>
      </c>
      <c r="L8" s="11">
        <f>L7*(1-Supuestos!$E$20)</f>
        <v/>
      </c>
      <c r="M8" s="11">
        <f>M7*(1-Supuestos!$E$20)</f>
        <v/>
      </c>
      <c r="N8" s="11">
        <f>N7*(1-Supuestos!$E$20)</f>
        <v/>
      </c>
      <c r="O8" s="11">
        <f>O7*(1-Supuestos!$E$20)</f>
        <v/>
      </c>
      <c r="P8" s="11">
        <f>P7*(1-Supuestos!$E$20)</f>
        <v/>
      </c>
      <c r="Q8" s="11">
        <f>Q7*(1-Supuestos!$E$20)</f>
        <v/>
      </c>
      <c r="R8" s="11">
        <f>R7*(1-Supuestos!$E$20)</f>
        <v/>
      </c>
      <c r="S8" s="11">
        <f>S7*(1-Supuestos!$E$20)</f>
        <v/>
      </c>
      <c r="T8" s="11">
        <f>T7*(1-Supuestos!$E$20)</f>
        <v/>
      </c>
      <c r="U8" s="11">
        <f>U7*(1-Supuestos!$E$20)</f>
        <v/>
      </c>
      <c r="V8" s="11">
        <f>V7*(1-Supuestos!$E$20)</f>
        <v/>
      </c>
      <c r="W8" s="11">
        <f>W7*(1-Supuestos!$E$20)</f>
        <v/>
      </c>
      <c r="X8" s="11">
        <f>X7*(1-Supuestos!$E$20)</f>
        <v/>
      </c>
      <c r="Y8" s="11">
        <f>Y7*(1-Supuestos!$E$20)</f>
        <v/>
      </c>
      <c r="Z8" s="11">
        <f>Z7*(1-Supuestos!$E$20)</f>
        <v/>
      </c>
      <c r="AA8" s="11">
        <f>AA7*(1-Supuestos!$E$20)</f>
        <v/>
      </c>
      <c r="AB8" s="11">
        <f>AB7*(1-Supuestos!$E$20)</f>
        <v/>
      </c>
      <c r="AC8" s="11">
        <f>AC7*(1-Supuestos!$E$20)</f>
        <v/>
      </c>
      <c r="AD8" s="11">
        <f>AD7*(1-Supuestos!$E$20)</f>
        <v/>
      </c>
      <c r="AE8" s="11">
        <f>AE7*(1-Supuestos!$E$20)</f>
        <v/>
      </c>
      <c r="AF8" s="11">
        <f>AF7*(1-Supuestos!$E$20)</f>
        <v/>
      </c>
      <c r="AG8" s="11">
        <f>AG7*(1-Supuestos!$E$20)</f>
        <v/>
      </c>
      <c r="AH8" s="11">
        <f>AH7*(1-Supuestos!$E$20)</f>
        <v/>
      </c>
      <c r="AI8" s="11">
        <f>AI7*(1-Supuestos!$E$20)</f>
        <v/>
      </c>
      <c r="AJ8" s="11">
        <f>AJ7*(1-Supuestos!$E$20)</f>
        <v/>
      </c>
      <c r="AK8" s="11">
        <f>AK7*(1-Supuestos!$E$20)</f>
        <v/>
      </c>
      <c r="AL8" s="11">
        <f>AL7*(1-Supuestos!$E$20)</f>
        <v/>
      </c>
    </row>
    <row r="9">
      <c r="A9" s="8" t="inlineStr">
        <is>
          <t>Honorarios por siniestro cobrados</t>
        </is>
      </c>
      <c r="B9" s="13" t="n">
        <v>0</v>
      </c>
      <c r="C9" s="13">
        <f>(C10*Supuestos!$E$11+C11*Supuestos!$E$12+C12*Supuestos!$E$13)*C6*Supuestos!$E$14</f>
        <v/>
      </c>
      <c r="D9" s="13">
        <f>(D10*Supuestos!$E$11+D11*Supuestos!$E$12+D12*Supuestos!$E$13)*D6*Supuestos!$E$14</f>
        <v/>
      </c>
      <c r="E9" s="13">
        <f>(E10*Supuestos!$E$11+E11*Supuestos!$E$12+E12*Supuestos!$E$13)*E6*Supuestos!$E$14</f>
        <v/>
      </c>
      <c r="F9" s="13">
        <f>(F10*Supuestos!$E$11+F11*Supuestos!$E$12+F12*Supuestos!$E$13)*F6*Supuestos!$E$14</f>
        <v/>
      </c>
      <c r="G9" s="13">
        <f>(G10*Supuestos!$E$11+G11*Supuestos!$E$12+G12*Supuestos!$E$13)*G6*Supuestos!$E$14</f>
        <v/>
      </c>
      <c r="H9" s="13">
        <f>(H10*Supuestos!$E$11+H11*Supuestos!$E$12+H12*Supuestos!$E$13)*H6*Supuestos!$E$14</f>
        <v/>
      </c>
      <c r="I9" s="13">
        <f>(I10*Supuestos!$E$11+I11*Supuestos!$E$12+I12*Supuestos!$E$13)*I6*Supuestos!$E$14</f>
        <v/>
      </c>
      <c r="J9" s="13">
        <f>(J10*Supuestos!$E$11+J11*Supuestos!$E$12+J12*Supuestos!$E$13)*J6*Supuestos!$E$14</f>
        <v/>
      </c>
      <c r="K9" s="13">
        <f>(K10*Supuestos!$E$11+K11*Supuestos!$E$12+K12*Supuestos!$E$13)*K6*Supuestos!$E$14</f>
        <v/>
      </c>
      <c r="L9" s="13">
        <f>(L10*Supuestos!$E$11+L11*Supuestos!$E$12+L12*Supuestos!$E$13)*L6*Supuestos!$E$14</f>
        <v/>
      </c>
      <c r="M9" s="13">
        <f>(M10*Supuestos!$E$11+M11*Supuestos!$E$12+M12*Supuestos!$E$13)*M6*Supuestos!$E$14</f>
        <v/>
      </c>
      <c r="N9" s="13">
        <f>(N10*Supuestos!$E$11+N11*Supuestos!$E$12+N12*Supuestos!$E$13)*N6*Supuestos!$E$14</f>
        <v/>
      </c>
      <c r="O9" s="13">
        <f>(O10*Supuestos!$E$11+O11*Supuestos!$E$12+O12*Supuestos!$E$13)*O6*Supuestos!$E$14</f>
        <v/>
      </c>
      <c r="P9" s="13">
        <f>(P10*Supuestos!$E$11+P11*Supuestos!$E$12+P12*Supuestos!$E$13)*P6*Supuestos!$E$14</f>
        <v/>
      </c>
      <c r="Q9" s="13">
        <f>(Q10*Supuestos!$E$11+Q11*Supuestos!$E$12+Q12*Supuestos!$E$13)*Q6*Supuestos!$E$14</f>
        <v/>
      </c>
      <c r="R9" s="13">
        <f>(R10*Supuestos!$E$11+R11*Supuestos!$E$12+R12*Supuestos!$E$13)*R6*Supuestos!$E$14</f>
        <v/>
      </c>
      <c r="S9" s="13">
        <f>(S10*Supuestos!$E$11+S11*Supuestos!$E$12+S12*Supuestos!$E$13)*S6*Supuestos!$E$14</f>
        <v/>
      </c>
      <c r="T9" s="13">
        <f>(T10*Supuestos!$E$11+T11*Supuestos!$E$12+T12*Supuestos!$E$13)*T6*Supuestos!$E$14</f>
        <v/>
      </c>
      <c r="U9" s="13">
        <f>(U10*Supuestos!$E$11+U11*Supuestos!$E$12+U12*Supuestos!$E$13)*U6*Supuestos!$E$14</f>
        <v/>
      </c>
      <c r="V9" s="13">
        <f>(V10*Supuestos!$E$11+V11*Supuestos!$E$12+V12*Supuestos!$E$13)*V6*Supuestos!$E$14</f>
        <v/>
      </c>
      <c r="W9" s="13">
        <f>(W10*Supuestos!$E$11+W11*Supuestos!$E$12+W12*Supuestos!$E$13)*W6*Supuestos!$E$14</f>
        <v/>
      </c>
      <c r="X9" s="13">
        <f>(X10*Supuestos!$E$11+X11*Supuestos!$E$12+X12*Supuestos!$E$13)*X6*Supuestos!$E$14</f>
        <v/>
      </c>
      <c r="Y9" s="13">
        <f>(Y10*Supuestos!$E$11+Y11*Supuestos!$E$12+Y12*Supuestos!$E$13)*Y6*Supuestos!$E$14</f>
        <v/>
      </c>
      <c r="Z9" s="13">
        <f>(Z10*Supuestos!$E$11+Z11*Supuestos!$E$12+Z12*Supuestos!$E$13)*Z6*Supuestos!$E$14</f>
        <v/>
      </c>
      <c r="AA9" s="13">
        <f>(AA10*Supuestos!$E$11+AA11*Supuestos!$E$12+AA12*Supuestos!$E$13)*AA6*Supuestos!$E$14</f>
        <v/>
      </c>
      <c r="AB9" s="13">
        <f>(AB10*Supuestos!$E$11+AB11*Supuestos!$E$12+AB12*Supuestos!$E$13)*AB6*Supuestos!$E$14</f>
        <v/>
      </c>
      <c r="AC9" s="13">
        <f>(AC10*Supuestos!$E$11+AC11*Supuestos!$E$12+AC12*Supuestos!$E$13)*AC6*Supuestos!$E$14</f>
        <v/>
      </c>
      <c r="AD9" s="13">
        <f>(AD10*Supuestos!$E$11+AD11*Supuestos!$E$12+AD12*Supuestos!$E$13)*AD6*Supuestos!$E$14</f>
        <v/>
      </c>
      <c r="AE9" s="13">
        <f>(AE10*Supuestos!$E$11+AE11*Supuestos!$E$12+AE12*Supuestos!$E$13)*AE6*Supuestos!$E$14</f>
        <v/>
      </c>
      <c r="AF9" s="13">
        <f>(AF10*Supuestos!$E$11+AF11*Supuestos!$E$12+AF12*Supuestos!$E$13)*AF6*Supuestos!$E$14</f>
        <v/>
      </c>
      <c r="AG9" s="13">
        <f>(AG10*Supuestos!$E$11+AG11*Supuestos!$E$12+AG12*Supuestos!$E$13)*AG6*Supuestos!$E$14</f>
        <v/>
      </c>
      <c r="AH9" s="13">
        <f>(AH10*Supuestos!$E$11+AH11*Supuestos!$E$12+AH12*Supuestos!$E$13)*AH6*Supuestos!$E$14</f>
        <v/>
      </c>
      <c r="AI9" s="13">
        <f>(AI10*Supuestos!$E$11+AI11*Supuestos!$E$12+AI12*Supuestos!$E$13)*AI6*Supuestos!$E$14</f>
        <v/>
      </c>
      <c r="AJ9" s="13">
        <f>(AJ10*Supuestos!$E$11+AJ11*Supuestos!$E$12+AJ12*Supuestos!$E$13)*AJ6*Supuestos!$E$14</f>
        <v/>
      </c>
      <c r="AK9" s="13">
        <f>(AK10*Supuestos!$E$11+AK11*Supuestos!$E$12+AK12*Supuestos!$E$13)*AK6*Supuestos!$E$14</f>
        <v/>
      </c>
      <c r="AL9" s="13">
        <f>(AL10*Supuestos!$E$11+AL11*Supuestos!$E$12+AL12*Supuestos!$E$13)*AL6*Supuestos!$E$14</f>
        <v/>
      </c>
    </row>
    <row r="10">
      <c r="A10" s="8" t="inlineStr">
        <is>
          <t>Siniestros materiales</t>
        </is>
      </c>
      <c r="B10" s="44" t="n">
        <v>0</v>
      </c>
      <c r="C10" s="44">
        <f>C5*Supuestos!$E$25/12</f>
        <v/>
      </c>
      <c r="D10" s="44">
        <f>D5*Supuestos!$E$25/12</f>
        <v/>
      </c>
      <c r="E10" s="44">
        <f>E5*Supuestos!$E$25/12</f>
        <v/>
      </c>
      <c r="F10" s="44">
        <f>F5*Supuestos!$E$25/12</f>
        <v/>
      </c>
      <c r="G10" s="44">
        <f>G5*Supuestos!$E$25/12</f>
        <v/>
      </c>
      <c r="H10" s="44">
        <f>H5*Supuestos!$E$25/12</f>
        <v/>
      </c>
      <c r="I10" s="44">
        <f>I5*Supuestos!$E$25/12</f>
        <v/>
      </c>
      <c r="J10" s="44">
        <f>J5*Supuestos!$E$25/12</f>
        <v/>
      </c>
      <c r="K10" s="44">
        <f>K5*Supuestos!$E$25/12</f>
        <v/>
      </c>
      <c r="L10" s="44">
        <f>L5*Supuestos!$E$25/12</f>
        <v/>
      </c>
      <c r="M10" s="44">
        <f>M5*Supuestos!$E$25/12</f>
        <v/>
      </c>
      <c r="N10" s="44">
        <f>N5*Supuestos!$E$25/12</f>
        <v/>
      </c>
      <c r="O10" s="44">
        <f>O5*Supuestos!$E$25/12</f>
        <v/>
      </c>
      <c r="P10" s="44">
        <f>P5*Supuestos!$E$25/12</f>
        <v/>
      </c>
      <c r="Q10" s="44">
        <f>Q5*Supuestos!$E$25/12</f>
        <v/>
      </c>
      <c r="R10" s="44">
        <f>R5*Supuestos!$E$25/12</f>
        <v/>
      </c>
      <c r="S10" s="44">
        <f>S5*Supuestos!$E$25/12</f>
        <v/>
      </c>
      <c r="T10" s="44">
        <f>T5*Supuestos!$E$25/12</f>
        <v/>
      </c>
      <c r="U10" s="44">
        <f>U5*Supuestos!$E$25/12</f>
        <v/>
      </c>
      <c r="V10" s="44">
        <f>V5*Supuestos!$E$25/12</f>
        <v/>
      </c>
      <c r="W10" s="44">
        <f>W5*Supuestos!$E$25/12</f>
        <v/>
      </c>
      <c r="X10" s="44">
        <f>X5*Supuestos!$E$25/12</f>
        <v/>
      </c>
      <c r="Y10" s="44">
        <f>Y5*Supuestos!$E$25/12</f>
        <v/>
      </c>
      <c r="Z10" s="44">
        <f>Z5*Supuestos!$E$25/12</f>
        <v/>
      </c>
      <c r="AA10" s="44">
        <f>AA5*Supuestos!$E$25/12</f>
        <v/>
      </c>
      <c r="AB10" s="44">
        <f>AB5*Supuestos!$E$25/12</f>
        <v/>
      </c>
      <c r="AC10" s="44">
        <f>AC5*Supuestos!$E$25/12</f>
        <v/>
      </c>
      <c r="AD10" s="44">
        <f>AD5*Supuestos!$E$25/12</f>
        <v/>
      </c>
      <c r="AE10" s="44">
        <f>AE5*Supuestos!$E$25/12</f>
        <v/>
      </c>
      <c r="AF10" s="44">
        <f>AF5*Supuestos!$E$25/12</f>
        <v/>
      </c>
      <c r="AG10" s="44">
        <f>AG5*Supuestos!$E$25/12</f>
        <v/>
      </c>
      <c r="AH10" s="44">
        <f>AH5*Supuestos!$E$25/12</f>
        <v/>
      </c>
      <c r="AI10" s="44">
        <f>AI5*Supuestos!$E$25/12</f>
        <v/>
      </c>
      <c r="AJ10" s="44">
        <f>AJ5*Supuestos!$E$25/12</f>
        <v/>
      </c>
      <c r="AK10" s="44">
        <f>AK5*Supuestos!$E$25/12</f>
        <v/>
      </c>
      <c r="AL10" s="44">
        <f>AL5*Supuestos!$E$25/12</f>
        <v/>
      </c>
    </row>
    <row r="11">
      <c r="A11" s="8" t="inlineStr">
        <is>
          <t>Siniestros con lesionados</t>
        </is>
      </c>
      <c r="B11" s="44" t="n">
        <v>0</v>
      </c>
      <c r="C11" s="44">
        <f>C5*Supuestos!$E$26/12</f>
        <v/>
      </c>
      <c r="D11" s="44">
        <f>D5*Supuestos!$E$26/12</f>
        <v/>
      </c>
      <c r="E11" s="44">
        <f>E5*Supuestos!$E$26/12</f>
        <v/>
      </c>
      <c r="F11" s="44">
        <f>F5*Supuestos!$E$26/12</f>
        <v/>
      </c>
      <c r="G11" s="44">
        <f>G5*Supuestos!$E$26/12</f>
        <v/>
      </c>
      <c r="H11" s="44">
        <f>H5*Supuestos!$E$26/12</f>
        <v/>
      </c>
      <c r="I11" s="44">
        <f>I5*Supuestos!$E$26/12</f>
        <v/>
      </c>
      <c r="J11" s="44">
        <f>J5*Supuestos!$E$26/12</f>
        <v/>
      </c>
      <c r="K11" s="44">
        <f>K5*Supuestos!$E$26/12</f>
        <v/>
      </c>
      <c r="L11" s="44">
        <f>L5*Supuestos!$E$26/12</f>
        <v/>
      </c>
      <c r="M11" s="44">
        <f>M5*Supuestos!$E$26/12</f>
        <v/>
      </c>
      <c r="N11" s="44">
        <f>N5*Supuestos!$E$26/12</f>
        <v/>
      </c>
      <c r="O11" s="44">
        <f>O5*Supuestos!$E$26/12</f>
        <v/>
      </c>
      <c r="P11" s="44">
        <f>P5*Supuestos!$E$26/12</f>
        <v/>
      </c>
      <c r="Q11" s="44">
        <f>Q5*Supuestos!$E$26/12</f>
        <v/>
      </c>
      <c r="R11" s="44">
        <f>R5*Supuestos!$E$26/12</f>
        <v/>
      </c>
      <c r="S11" s="44">
        <f>S5*Supuestos!$E$26/12</f>
        <v/>
      </c>
      <c r="T11" s="44">
        <f>T5*Supuestos!$E$26/12</f>
        <v/>
      </c>
      <c r="U11" s="44">
        <f>U5*Supuestos!$E$26/12</f>
        <v/>
      </c>
      <c r="V11" s="44">
        <f>V5*Supuestos!$E$26/12</f>
        <v/>
      </c>
      <c r="W11" s="44">
        <f>W5*Supuestos!$E$26/12</f>
        <v/>
      </c>
      <c r="X11" s="44">
        <f>X5*Supuestos!$E$26/12</f>
        <v/>
      </c>
      <c r="Y11" s="44">
        <f>Y5*Supuestos!$E$26/12</f>
        <v/>
      </c>
      <c r="Z11" s="44">
        <f>Z5*Supuestos!$E$26/12</f>
        <v/>
      </c>
      <c r="AA11" s="44">
        <f>AA5*Supuestos!$E$26/12</f>
        <v/>
      </c>
      <c r="AB11" s="44">
        <f>AB5*Supuestos!$E$26/12</f>
        <v/>
      </c>
      <c r="AC11" s="44">
        <f>AC5*Supuestos!$E$26/12</f>
        <v/>
      </c>
      <c r="AD11" s="44">
        <f>AD5*Supuestos!$E$26/12</f>
        <v/>
      </c>
      <c r="AE11" s="44">
        <f>AE5*Supuestos!$E$26/12</f>
        <v/>
      </c>
      <c r="AF11" s="44">
        <f>AF5*Supuestos!$E$26/12</f>
        <v/>
      </c>
      <c r="AG11" s="44">
        <f>AG5*Supuestos!$E$26/12</f>
        <v/>
      </c>
      <c r="AH11" s="44">
        <f>AH5*Supuestos!$E$26/12</f>
        <v/>
      </c>
      <c r="AI11" s="44">
        <f>AI5*Supuestos!$E$26/12</f>
        <v/>
      </c>
      <c r="AJ11" s="44">
        <f>AJ5*Supuestos!$E$26/12</f>
        <v/>
      </c>
      <c r="AK11" s="44">
        <f>AK5*Supuestos!$E$26/12</f>
        <v/>
      </c>
      <c r="AL11" s="44">
        <f>AL5*Supuestos!$E$26/12</f>
        <v/>
      </c>
    </row>
    <row r="12">
      <c r="A12" s="8" t="inlineStr">
        <is>
          <t>Siniestros con fallecidos</t>
        </is>
      </c>
      <c r="B12" s="44" t="n">
        <v>0</v>
      </c>
      <c r="C12" s="44">
        <f>C5*Supuestos!$E$27/12</f>
        <v/>
      </c>
      <c r="D12" s="44">
        <f>D5*Supuestos!$E$27/12</f>
        <v/>
      </c>
      <c r="E12" s="44">
        <f>E5*Supuestos!$E$27/12</f>
        <v/>
      </c>
      <c r="F12" s="44">
        <f>F5*Supuestos!$E$27/12</f>
        <v/>
      </c>
      <c r="G12" s="44">
        <f>G5*Supuestos!$E$27/12</f>
        <v/>
      </c>
      <c r="H12" s="44">
        <f>H5*Supuestos!$E$27/12</f>
        <v/>
      </c>
      <c r="I12" s="44">
        <f>I5*Supuestos!$E$27/12</f>
        <v/>
      </c>
      <c r="J12" s="44">
        <f>J5*Supuestos!$E$27/12</f>
        <v/>
      </c>
      <c r="K12" s="44">
        <f>K5*Supuestos!$E$27/12</f>
        <v/>
      </c>
      <c r="L12" s="44">
        <f>L5*Supuestos!$E$27/12</f>
        <v/>
      </c>
      <c r="M12" s="44">
        <f>M5*Supuestos!$E$27/12</f>
        <v/>
      </c>
      <c r="N12" s="44">
        <f>N5*Supuestos!$E$27/12</f>
        <v/>
      </c>
      <c r="O12" s="44">
        <f>O5*Supuestos!$E$27/12</f>
        <v/>
      </c>
      <c r="P12" s="44">
        <f>P5*Supuestos!$E$27/12</f>
        <v/>
      </c>
      <c r="Q12" s="44">
        <f>Q5*Supuestos!$E$27/12</f>
        <v/>
      </c>
      <c r="R12" s="44">
        <f>R5*Supuestos!$E$27/12</f>
        <v/>
      </c>
      <c r="S12" s="44">
        <f>S5*Supuestos!$E$27/12</f>
        <v/>
      </c>
      <c r="T12" s="44">
        <f>T5*Supuestos!$E$27/12</f>
        <v/>
      </c>
      <c r="U12" s="44">
        <f>U5*Supuestos!$E$27/12</f>
        <v/>
      </c>
      <c r="V12" s="44">
        <f>V5*Supuestos!$E$27/12</f>
        <v/>
      </c>
      <c r="W12" s="44">
        <f>W5*Supuestos!$E$27/12</f>
        <v/>
      </c>
      <c r="X12" s="44">
        <f>X5*Supuestos!$E$27/12</f>
        <v/>
      </c>
      <c r="Y12" s="44">
        <f>Y5*Supuestos!$E$27/12</f>
        <v/>
      </c>
      <c r="Z12" s="44">
        <f>Z5*Supuestos!$E$27/12</f>
        <v/>
      </c>
      <c r="AA12" s="44">
        <f>AA5*Supuestos!$E$27/12</f>
        <v/>
      </c>
      <c r="AB12" s="44">
        <f>AB5*Supuestos!$E$27/12</f>
        <v/>
      </c>
      <c r="AC12" s="44">
        <f>AC5*Supuestos!$E$27/12</f>
        <v/>
      </c>
      <c r="AD12" s="44">
        <f>AD5*Supuestos!$E$27/12</f>
        <v/>
      </c>
      <c r="AE12" s="44">
        <f>AE5*Supuestos!$E$27/12</f>
        <v/>
      </c>
      <c r="AF12" s="44">
        <f>AF5*Supuestos!$E$27/12</f>
        <v/>
      </c>
      <c r="AG12" s="44">
        <f>AG5*Supuestos!$E$27/12</f>
        <v/>
      </c>
      <c r="AH12" s="44">
        <f>AH5*Supuestos!$E$27/12</f>
        <v/>
      </c>
      <c r="AI12" s="44">
        <f>AI5*Supuestos!$E$27/12</f>
        <v/>
      </c>
      <c r="AJ12" s="44">
        <f>AJ5*Supuestos!$E$27/12</f>
        <v/>
      </c>
      <c r="AK12" s="44">
        <f>AK5*Supuestos!$E$27/12</f>
        <v/>
      </c>
      <c r="AL12" s="44">
        <f>AL5*Supuestos!$E$27/12</f>
        <v/>
      </c>
    </row>
    <row r="13">
      <c r="A13" s="8" t="inlineStr">
        <is>
          <t>Multas gestionadas</t>
        </is>
      </c>
      <c r="B13" s="44" t="n">
        <v>0</v>
      </c>
      <c r="C13" s="44">
        <f>C5*Supuestos!$E$28/12</f>
        <v/>
      </c>
      <c r="D13" s="44">
        <f>D5*Supuestos!$E$28/12</f>
        <v/>
      </c>
      <c r="E13" s="44">
        <f>E5*Supuestos!$E$28/12</f>
        <v/>
      </c>
      <c r="F13" s="44">
        <f>F5*Supuestos!$E$28/12</f>
        <v/>
      </c>
      <c r="G13" s="44">
        <f>G5*Supuestos!$E$28/12</f>
        <v/>
      </c>
      <c r="H13" s="44">
        <f>H5*Supuestos!$E$28/12</f>
        <v/>
      </c>
      <c r="I13" s="44">
        <f>I5*Supuestos!$E$28/12</f>
        <v/>
      </c>
      <c r="J13" s="44">
        <f>J5*Supuestos!$E$28/12</f>
        <v/>
      </c>
      <c r="K13" s="44">
        <f>K5*Supuestos!$E$28/12</f>
        <v/>
      </c>
      <c r="L13" s="44">
        <f>L5*Supuestos!$E$28/12</f>
        <v/>
      </c>
      <c r="M13" s="44">
        <f>M5*Supuestos!$E$28/12</f>
        <v/>
      </c>
      <c r="N13" s="44">
        <f>N5*Supuestos!$E$28/12</f>
        <v/>
      </c>
      <c r="O13" s="44">
        <f>O5*Supuestos!$E$28/12</f>
        <v/>
      </c>
      <c r="P13" s="44">
        <f>P5*Supuestos!$E$28/12</f>
        <v/>
      </c>
      <c r="Q13" s="44">
        <f>Q5*Supuestos!$E$28/12</f>
        <v/>
      </c>
      <c r="R13" s="44">
        <f>R5*Supuestos!$E$28/12</f>
        <v/>
      </c>
      <c r="S13" s="44">
        <f>S5*Supuestos!$E$28/12</f>
        <v/>
      </c>
      <c r="T13" s="44">
        <f>T5*Supuestos!$E$28/12</f>
        <v/>
      </c>
      <c r="U13" s="44">
        <f>U5*Supuestos!$E$28/12</f>
        <v/>
      </c>
      <c r="V13" s="44">
        <f>V5*Supuestos!$E$28/12</f>
        <v/>
      </c>
      <c r="W13" s="44">
        <f>W5*Supuestos!$E$28/12</f>
        <v/>
      </c>
      <c r="X13" s="44">
        <f>X5*Supuestos!$E$28/12</f>
        <v/>
      </c>
      <c r="Y13" s="44">
        <f>Y5*Supuestos!$E$28/12</f>
        <v/>
      </c>
      <c r="Z13" s="44">
        <f>Z5*Supuestos!$E$28/12</f>
        <v/>
      </c>
      <c r="AA13" s="44">
        <f>AA5*Supuestos!$E$28/12</f>
        <v/>
      </c>
      <c r="AB13" s="44">
        <f>AB5*Supuestos!$E$28/12</f>
        <v/>
      </c>
      <c r="AC13" s="44">
        <f>AC5*Supuestos!$E$28/12</f>
        <v/>
      </c>
      <c r="AD13" s="44">
        <f>AD5*Supuestos!$E$28/12</f>
        <v/>
      </c>
      <c r="AE13" s="44">
        <f>AE5*Supuestos!$E$28/12</f>
        <v/>
      </c>
      <c r="AF13" s="44">
        <f>AF5*Supuestos!$E$28/12</f>
        <v/>
      </c>
      <c r="AG13" s="44">
        <f>AG5*Supuestos!$E$28/12</f>
        <v/>
      </c>
      <c r="AH13" s="44">
        <f>AH5*Supuestos!$E$28/12</f>
        <v/>
      </c>
      <c r="AI13" s="44">
        <f>AI5*Supuestos!$E$28/12</f>
        <v/>
      </c>
      <c r="AJ13" s="44">
        <f>AJ5*Supuestos!$E$28/12</f>
        <v/>
      </c>
      <c r="AK13" s="44">
        <f>AK5*Supuestos!$E$28/12</f>
        <v/>
      </c>
      <c r="AL13" s="44">
        <f>AL5*Supuestos!$E$28/12</f>
        <v/>
      </c>
    </row>
    <row r="14">
      <c r="A14" s="8" t="inlineStr">
        <is>
          <t>Horas de abogado requeridas</t>
        </is>
      </c>
      <c r="B14" s="44" t="n">
        <v>0</v>
      </c>
      <c r="C14" s="44">
        <f>C4*Supuestos!$E$30+C10*Supuestos!$E$31+C11*Supuestos!$E$32+C12*Supuestos!$E$33+C13*Supuestos!$E$34</f>
        <v/>
      </c>
      <c r="D14" s="44">
        <f>D4*Supuestos!$E$30+D10*Supuestos!$E$31+D11*Supuestos!$E$32+D12*Supuestos!$E$33+D13*Supuestos!$E$34</f>
        <v/>
      </c>
      <c r="E14" s="44">
        <f>E4*Supuestos!$E$30+E10*Supuestos!$E$31+E11*Supuestos!$E$32+E12*Supuestos!$E$33+E13*Supuestos!$E$34</f>
        <v/>
      </c>
      <c r="F14" s="44">
        <f>F4*Supuestos!$E$30+F10*Supuestos!$E$31+F11*Supuestos!$E$32+F12*Supuestos!$E$33+F13*Supuestos!$E$34</f>
        <v/>
      </c>
      <c r="G14" s="44">
        <f>G4*Supuestos!$E$30+G10*Supuestos!$E$31+G11*Supuestos!$E$32+G12*Supuestos!$E$33+G13*Supuestos!$E$34</f>
        <v/>
      </c>
      <c r="H14" s="44">
        <f>H4*Supuestos!$E$30+H10*Supuestos!$E$31+H11*Supuestos!$E$32+H12*Supuestos!$E$33+H13*Supuestos!$E$34</f>
        <v/>
      </c>
      <c r="I14" s="44">
        <f>I4*Supuestos!$E$30+I10*Supuestos!$E$31+I11*Supuestos!$E$32+I12*Supuestos!$E$33+I13*Supuestos!$E$34</f>
        <v/>
      </c>
      <c r="J14" s="44">
        <f>J4*Supuestos!$E$30+J10*Supuestos!$E$31+J11*Supuestos!$E$32+J12*Supuestos!$E$33+J13*Supuestos!$E$34</f>
        <v/>
      </c>
      <c r="K14" s="44">
        <f>K4*Supuestos!$E$30+K10*Supuestos!$E$31+K11*Supuestos!$E$32+K12*Supuestos!$E$33+K13*Supuestos!$E$34</f>
        <v/>
      </c>
      <c r="L14" s="44">
        <f>L4*Supuestos!$E$30+L10*Supuestos!$E$31+L11*Supuestos!$E$32+L12*Supuestos!$E$33+L13*Supuestos!$E$34</f>
        <v/>
      </c>
      <c r="M14" s="44">
        <f>M4*Supuestos!$E$30+M10*Supuestos!$E$31+M11*Supuestos!$E$32+M12*Supuestos!$E$33+M13*Supuestos!$E$34</f>
        <v/>
      </c>
      <c r="N14" s="44">
        <f>N4*Supuestos!$E$30+N10*Supuestos!$E$31+N11*Supuestos!$E$32+N12*Supuestos!$E$33+N13*Supuestos!$E$34</f>
        <v/>
      </c>
      <c r="O14" s="44">
        <f>O4*Supuestos!$E$30+O10*Supuestos!$E$31+O11*Supuestos!$E$32+O12*Supuestos!$E$33+O13*Supuestos!$E$34</f>
        <v/>
      </c>
      <c r="P14" s="44">
        <f>P4*Supuestos!$E$30+P10*Supuestos!$E$31+P11*Supuestos!$E$32+P12*Supuestos!$E$33+P13*Supuestos!$E$34</f>
        <v/>
      </c>
      <c r="Q14" s="44">
        <f>Q4*Supuestos!$E$30+Q10*Supuestos!$E$31+Q11*Supuestos!$E$32+Q12*Supuestos!$E$33+Q13*Supuestos!$E$34</f>
        <v/>
      </c>
      <c r="R14" s="44">
        <f>R4*Supuestos!$E$30+R10*Supuestos!$E$31+R11*Supuestos!$E$32+R12*Supuestos!$E$33+R13*Supuestos!$E$34</f>
        <v/>
      </c>
      <c r="S14" s="44">
        <f>S4*Supuestos!$E$30+S10*Supuestos!$E$31+S11*Supuestos!$E$32+S12*Supuestos!$E$33+S13*Supuestos!$E$34</f>
        <v/>
      </c>
      <c r="T14" s="44">
        <f>T4*Supuestos!$E$30+T10*Supuestos!$E$31+T11*Supuestos!$E$32+T12*Supuestos!$E$33+T13*Supuestos!$E$34</f>
        <v/>
      </c>
      <c r="U14" s="44">
        <f>U4*Supuestos!$E$30+U10*Supuestos!$E$31+U11*Supuestos!$E$32+U12*Supuestos!$E$33+U13*Supuestos!$E$34</f>
        <v/>
      </c>
      <c r="V14" s="44">
        <f>V4*Supuestos!$E$30+V10*Supuestos!$E$31+V11*Supuestos!$E$32+V12*Supuestos!$E$33+V13*Supuestos!$E$34</f>
        <v/>
      </c>
      <c r="W14" s="44">
        <f>W4*Supuestos!$E$30+W10*Supuestos!$E$31+W11*Supuestos!$E$32+W12*Supuestos!$E$33+W13*Supuestos!$E$34</f>
        <v/>
      </c>
      <c r="X14" s="44">
        <f>X4*Supuestos!$E$30+X10*Supuestos!$E$31+X11*Supuestos!$E$32+X12*Supuestos!$E$33+X13*Supuestos!$E$34</f>
        <v/>
      </c>
      <c r="Y14" s="44">
        <f>Y4*Supuestos!$E$30+Y10*Supuestos!$E$31+Y11*Supuestos!$E$32+Y12*Supuestos!$E$33+Y13*Supuestos!$E$34</f>
        <v/>
      </c>
      <c r="Z14" s="44">
        <f>Z4*Supuestos!$E$30+Z10*Supuestos!$E$31+Z11*Supuestos!$E$32+Z12*Supuestos!$E$33+Z13*Supuestos!$E$34</f>
        <v/>
      </c>
      <c r="AA14" s="44">
        <f>AA4*Supuestos!$E$30+AA10*Supuestos!$E$31+AA11*Supuestos!$E$32+AA12*Supuestos!$E$33+AA13*Supuestos!$E$34</f>
        <v/>
      </c>
      <c r="AB14" s="44">
        <f>AB4*Supuestos!$E$30+AB10*Supuestos!$E$31+AB11*Supuestos!$E$32+AB12*Supuestos!$E$33+AB13*Supuestos!$E$34</f>
        <v/>
      </c>
      <c r="AC14" s="44">
        <f>AC4*Supuestos!$E$30+AC10*Supuestos!$E$31+AC11*Supuestos!$E$32+AC12*Supuestos!$E$33+AC13*Supuestos!$E$34</f>
        <v/>
      </c>
      <c r="AD14" s="44">
        <f>AD4*Supuestos!$E$30+AD10*Supuestos!$E$31+AD11*Supuestos!$E$32+AD12*Supuestos!$E$33+AD13*Supuestos!$E$34</f>
        <v/>
      </c>
      <c r="AE14" s="44">
        <f>AE4*Supuestos!$E$30+AE10*Supuestos!$E$31+AE11*Supuestos!$E$32+AE12*Supuestos!$E$33+AE13*Supuestos!$E$34</f>
        <v/>
      </c>
      <c r="AF14" s="44">
        <f>AF4*Supuestos!$E$30+AF10*Supuestos!$E$31+AF11*Supuestos!$E$32+AF12*Supuestos!$E$33+AF13*Supuestos!$E$34</f>
        <v/>
      </c>
      <c r="AG14" s="44">
        <f>AG4*Supuestos!$E$30+AG10*Supuestos!$E$31+AG11*Supuestos!$E$32+AG12*Supuestos!$E$33+AG13*Supuestos!$E$34</f>
        <v/>
      </c>
      <c r="AH14" s="44">
        <f>AH4*Supuestos!$E$30+AH10*Supuestos!$E$31+AH11*Supuestos!$E$32+AH12*Supuestos!$E$33+AH13*Supuestos!$E$34</f>
        <v/>
      </c>
      <c r="AI14" s="44">
        <f>AI4*Supuestos!$E$30+AI10*Supuestos!$E$31+AI11*Supuestos!$E$32+AI12*Supuestos!$E$33+AI13*Supuestos!$E$34</f>
        <v/>
      </c>
      <c r="AJ14" s="44">
        <f>AJ4*Supuestos!$E$30+AJ10*Supuestos!$E$31+AJ11*Supuestos!$E$32+AJ12*Supuestos!$E$33+AJ13*Supuestos!$E$34</f>
        <v/>
      </c>
      <c r="AK14" s="44">
        <f>AK4*Supuestos!$E$30+AK10*Supuestos!$E$31+AK11*Supuestos!$E$32+AK12*Supuestos!$E$33+AK13*Supuestos!$E$34</f>
        <v/>
      </c>
      <c r="AL14" s="44">
        <f>AL4*Supuestos!$E$30+AL10*Supuestos!$E$31+AL11*Supuestos!$E$32+AL12*Supuestos!$E$33+AL13*Supuestos!$E$34</f>
        <v/>
      </c>
    </row>
    <row r="15">
      <c r="A15" s="8" t="inlineStr">
        <is>
          <t>Abogados dedicados</t>
        </is>
      </c>
      <c r="B15" s="43" t="n">
        <v>0</v>
      </c>
      <c r="C15" s="43">
        <f>MAX(Supuestos!$E$42,ROUNDUP(C14/Supuestos!$E$41,0))</f>
        <v/>
      </c>
      <c r="D15" s="43">
        <f>MAX(Supuestos!$E$42,ROUNDUP(D14/Supuestos!$E$41,0))</f>
        <v/>
      </c>
      <c r="E15" s="43">
        <f>MAX(Supuestos!$E$42,ROUNDUP(E14/Supuestos!$E$41,0))</f>
        <v/>
      </c>
      <c r="F15" s="43">
        <f>MAX(Supuestos!$E$42,ROUNDUP(F14/Supuestos!$E$41,0))</f>
        <v/>
      </c>
      <c r="G15" s="43">
        <f>MAX(Supuestos!$E$42,ROUNDUP(G14/Supuestos!$E$41,0))</f>
        <v/>
      </c>
      <c r="H15" s="43">
        <f>MAX(Supuestos!$E$42,ROUNDUP(H14/Supuestos!$E$41,0))</f>
        <v/>
      </c>
      <c r="I15" s="43">
        <f>MAX(Supuestos!$E$42,ROUNDUP(I14/Supuestos!$E$41,0))</f>
        <v/>
      </c>
      <c r="J15" s="43">
        <f>MAX(Supuestos!$E$42,ROUNDUP(J14/Supuestos!$E$41,0))</f>
        <v/>
      </c>
      <c r="K15" s="43">
        <f>MAX(Supuestos!$E$42,ROUNDUP(K14/Supuestos!$E$41,0))</f>
        <v/>
      </c>
      <c r="L15" s="43">
        <f>MAX(Supuestos!$E$42,ROUNDUP(L14/Supuestos!$E$41,0))</f>
        <v/>
      </c>
      <c r="M15" s="43">
        <f>MAX(Supuestos!$E$42,ROUNDUP(M14/Supuestos!$E$41,0))</f>
        <v/>
      </c>
      <c r="N15" s="43">
        <f>MAX(Supuestos!$E$42,ROUNDUP(N14/Supuestos!$E$41,0))</f>
        <v/>
      </c>
      <c r="O15" s="43">
        <f>MAX(Supuestos!$E$42,ROUNDUP(O14/Supuestos!$E$41,0))</f>
        <v/>
      </c>
      <c r="P15" s="43">
        <f>MAX(Supuestos!$E$42,ROUNDUP(P14/Supuestos!$E$41,0))</f>
        <v/>
      </c>
      <c r="Q15" s="43">
        <f>MAX(Supuestos!$E$42,ROUNDUP(Q14/Supuestos!$E$41,0))</f>
        <v/>
      </c>
      <c r="R15" s="43">
        <f>MAX(Supuestos!$E$42,ROUNDUP(R14/Supuestos!$E$41,0))</f>
        <v/>
      </c>
      <c r="S15" s="43">
        <f>MAX(Supuestos!$E$42,ROUNDUP(S14/Supuestos!$E$41,0))</f>
        <v/>
      </c>
      <c r="T15" s="43">
        <f>MAX(Supuestos!$E$42,ROUNDUP(T14/Supuestos!$E$41,0))</f>
        <v/>
      </c>
      <c r="U15" s="43">
        <f>MAX(Supuestos!$E$42,ROUNDUP(U14/Supuestos!$E$41,0))</f>
        <v/>
      </c>
      <c r="V15" s="43">
        <f>MAX(Supuestos!$E$42,ROUNDUP(V14/Supuestos!$E$41,0))</f>
        <v/>
      </c>
      <c r="W15" s="43">
        <f>MAX(Supuestos!$E$42,ROUNDUP(W14/Supuestos!$E$41,0))</f>
        <v/>
      </c>
      <c r="X15" s="43">
        <f>MAX(Supuestos!$E$42,ROUNDUP(X14/Supuestos!$E$41,0))</f>
        <v/>
      </c>
      <c r="Y15" s="43">
        <f>MAX(Supuestos!$E$42,ROUNDUP(Y14/Supuestos!$E$41,0))</f>
        <v/>
      </c>
      <c r="Z15" s="43">
        <f>MAX(Supuestos!$E$42,ROUNDUP(Z14/Supuestos!$E$41,0))</f>
        <v/>
      </c>
      <c r="AA15" s="43">
        <f>MAX(Supuestos!$E$42,ROUNDUP(AA14/Supuestos!$E$41,0))</f>
        <v/>
      </c>
      <c r="AB15" s="43">
        <f>MAX(Supuestos!$E$42,ROUNDUP(AB14/Supuestos!$E$41,0))</f>
        <v/>
      </c>
      <c r="AC15" s="43">
        <f>MAX(Supuestos!$E$42,ROUNDUP(AC14/Supuestos!$E$41,0))</f>
        <v/>
      </c>
      <c r="AD15" s="43">
        <f>MAX(Supuestos!$E$42,ROUNDUP(AD14/Supuestos!$E$41,0))</f>
        <v/>
      </c>
      <c r="AE15" s="43">
        <f>MAX(Supuestos!$E$42,ROUNDUP(AE14/Supuestos!$E$41,0))</f>
        <v/>
      </c>
      <c r="AF15" s="43">
        <f>MAX(Supuestos!$E$42,ROUNDUP(AF14/Supuestos!$E$41,0))</f>
        <v/>
      </c>
      <c r="AG15" s="43">
        <f>MAX(Supuestos!$E$42,ROUNDUP(AG14/Supuestos!$E$41,0))</f>
        <v/>
      </c>
      <c r="AH15" s="43">
        <f>MAX(Supuestos!$E$42,ROUNDUP(AH14/Supuestos!$E$41,0))</f>
        <v/>
      </c>
      <c r="AI15" s="43">
        <f>MAX(Supuestos!$E$42,ROUNDUP(AI14/Supuestos!$E$41,0))</f>
        <v/>
      </c>
      <c r="AJ15" s="43">
        <f>MAX(Supuestos!$E$42,ROUNDUP(AJ14/Supuestos!$E$41,0))</f>
        <v/>
      </c>
      <c r="AK15" s="43">
        <f>MAX(Supuestos!$E$42,ROUNDUP(AK14/Supuestos!$E$41,0))</f>
        <v/>
      </c>
      <c r="AL15" s="43">
        <f>MAX(Supuestos!$E$42,ROUNDUP(AL14/Supuestos!$E$41,0))</f>
        <v/>
      </c>
    </row>
    <row r="16">
      <c r="A16" s="8" t="inlineStr">
        <is>
          <t>Costo de abogados</t>
        </is>
      </c>
      <c r="B16" s="13" t="n">
        <v>0</v>
      </c>
      <c r="C16" s="13">
        <f>C15*Supuestos!$E$40</f>
        <v/>
      </c>
      <c r="D16" s="13">
        <f>D15*Supuestos!$E$40</f>
        <v/>
      </c>
      <c r="E16" s="13">
        <f>E15*Supuestos!$E$40</f>
        <v/>
      </c>
      <c r="F16" s="13">
        <f>F15*Supuestos!$E$40</f>
        <v/>
      </c>
      <c r="G16" s="13">
        <f>G15*Supuestos!$E$40</f>
        <v/>
      </c>
      <c r="H16" s="13">
        <f>H15*Supuestos!$E$40</f>
        <v/>
      </c>
      <c r="I16" s="13">
        <f>I15*Supuestos!$E$40</f>
        <v/>
      </c>
      <c r="J16" s="13">
        <f>J15*Supuestos!$E$40</f>
        <v/>
      </c>
      <c r="K16" s="13">
        <f>K15*Supuestos!$E$40</f>
        <v/>
      </c>
      <c r="L16" s="13">
        <f>L15*Supuestos!$E$40</f>
        <v/>
      </c>
      <c r="M16" s="13">
        <f>M15*Supuestos!$E$40</f>
        <v/>
      </c>
      <c r="N16" s="13">
        <f>N15*Supuestos!$E$40</f>
        <v/>
      </c>
      <c r="O16" s="13">
        <f>O15*Supuestos!$E$40</f>
        <v/>
      </c>
      <c r="P16" s="13">
        <f>P15*Supuestos!$E$40</f>
        <v/>
      </c>
      <c r="Q16" s="13">
        <f>Q15*Supuestos!$E$40</f>
        <v/>
      </c>
      <c r="R16" s="13">
        <f>R15*Supuestos!$E$40</f>
        <v/>
      </c>
      <c r="S16" s="13">
        <f>S15*Supuestos!$E$40</f>
        <v/>
      </c>
      <c r="T16" s="13">
        <f>T15*Supuestos!$E$40</f>
        <v/>
      </c>
      <c r="U16" s="13">
        <f>U15*Supuestos!$E$40</f>
        <v/>
      </c>
      <c r="V16" s="13">
        <f>V15*Supuestos!$E$40</f>
        <v/>
      </c>
      <c r="W16" s="13">
        <f>W15*Supuestos!$E$40</f>
        <v/>
      </c>
      <c r="X16" s="13">
        <f>X15*Supuestos!$E$40</f>
        <v/>
      </c>
      <c r="Y16" s="13">
        <f>Y15*Supuestos!$E$40</f>
        <v/>
      </c>
      <c r="Z16" s="13">
        <f>Z15*Supuestos!$E$40</f>
        <v/>
      </c>
      <c r="AA16" s="13">
        <f>AA15*Supuestos!$E$40</f>
        <v/>
      </c>
      <c r="AB16" s="13">
        <f>AB15*Supuestos!$E$40</f>
        <v/>
      </c>
      <c r="AC16" s="13">
        <f>AC15*Supuestos!$E$40</f>
        <v/>
      </c>
      <c r="AD16" s="13">
        <f>AD15*Supuestos!$E$40</f>
        <v/>
      </c>
      <c r="AE16" s="13">
        <f>AE15*Supuestos!$E$40</f>
        <v/>
      </c>
      <c r="AF16" s="13">
        <f>AF15*Supuestos!$E$40</f>
        <v/>
      </c>
      <c r="AG16" s="13">
        <f>AG15*Supuestos!$E$40</f>
        <v/>
      </c>
      <c r="AH16" s="13">
        <f>AH15*Supuestos!$E$40</f>
        <v/>
      </c>
      <c r="AI16" s="13">
        <f>AI15*Supuestos!$E$40</f>
        <v/>
      </c>
      <c r="AJ16" s="13">
        <f>AJ15*Supuestos!$E$40</f>
        <v/>
      </c>
      <c r="AK16" s="13">
        <f>AK15*Supuestos!$E$40</f>
        <v/>
      </c>
      <c r="AL16" s="13">
        <f>AL15*Supuestos!$E$40</f>
        <v/>
      </c>
    </row>
    <row r="17">
      <c r="A17" s="8" t="inlineStr">
        <is>
          <t>Gastos directos de casos</t>
        </is>
      </c>
      <c r="B17" s="13" t="n">
        <v>0</v>
      </c>
      <c r="C17" s="13">
        <f>C10*Supuestos!$E$36+C11*Supuestos!$E$37+C12*Supuestos!$E$38</f>
        <v/>
      </c>
      <c r="D17" s="13">
        <f>D10*Supuestos!$E$36+D11*Supuestos!$E$37+D12*Supuestos!$E$38</f>
        <v/>
      </c>
      <c r="E17" s="13">
        <f>E10*Supuestos!$E$36+E11*Supuestos!$E$37+E12*Supuestos!$E$38</f>
        <v/>
      </c>
      <c r="F17" s="13">
        <f>F10*Supuestos!$E$36+F11*Supuestos!$E$37+F12*Supuestos!$E$38</f>
        <v/>
      </c>
      <c r="G17" s="13">
        <f>G10*Supuestos!$E$36+G11*Supuestos!$E$37+G12*Supuestos!$E$38</f>
        <v/>
      </c>
      <c r="H17" s="13">
        <f>H10*Supuestos!$E$36+H11*Supuestos!$E$37+H12*Supuestos!$E$38</f>
        <v/>
      </c>
      <c r="I17" s="13">
        <f>I10*Supuestos!$E$36+I11*Supuestos!$E$37+I12*Supuestos!$E$38</f>
        <v/>
      </c>
      <c r="J17" s="13">
        <f>J10*Supuestos!$E$36+J11*Supuestos!$E$37+J12*Supuestos!$E$38</f>
        <v/>
      </c>
      <c r="K17" s="13">
        <f>K10*Supuestos!$E$36+K11*Supuestos!$E$37+K12*Supuestos!$E$38</f>
        <v/>
      </c>
      <c r="L17" s="13">
        <f>L10*Supuestos!$E$36+L11*Supuestos!$E$37+L12*Supuestos!$E$38</f>
        <v/>
      </c>
      <c r="M17" s="13">
        <f>M10*Supuestos!$E$36+M11*Supuestos!$E$37+M12*Supuestos!$E$38</f>
        <v/>
      </c>
      <c r="N17" s="13">
        <f>N10*Supuestos!$E$36+N11*Supuestos!$E$37+N12*Supuestos!$E$38</f>
        <v/>
      </c>
      <c r="O17" s="13">
        <f>O10*Supuestos!$E$36+O11*Supuestos!$E$37+O12*Supuestos!$E$38</f>
        <v/>
      </c>
      <c r="P17" s="13">
        <f>P10*Supuestos!$E$36+P11*Supuestos!$E$37+P12*Supuestos!$E$38</f>
        <v/>
      </c>
      <c r="Q17" s="13">
        <f>Q10*Supuestos!$E$36+Q11*Supuestos!$E$37+Q12*Supuestos!$E$38</f>
        <v/>
      </c>
      <c r="R17" s="13">
        <f>R10*Supuestos!$E$36+R11*Supuestos!$E$37+R12*Supuestos!$E$38</f>
        <v/>
      </c>
      <c r="S17" s="13">
        <f>S10*Supuestos!$E$36+S11*Supuestos!$E$37+S12*Supuestos!$E$38</f>
        <v/>
      </c>
      <c r="T17" s="13">
        <f>T10*Supuestos!$E$36+T11*Supuestos!$E$37+T12*Supuestos!$E$38</f>
        <v/>
      </c>
      <c r="U17" s="13">
        <f>U10*Supuestos!$E$36+U11*Supuestos!$E$37+U12*Supuestos!$E$38</f>
        <v/>
      </c>
      <c r="V17" s="13">
        <f>V10*Supuestos!$E$36+V11*Supuestos!$E$37+V12*Supuestos!$E$38</f>
        <v/>
      </c>
      <c r="W17" s="13">
        <f>W10*Supuestos!$E$36+W11*Supuestos!$E$37+W12*Supuestos!$E$38</f>
        <v/>
      </c>
      <c r="X17" s="13">
        <f>X10*Supuestos!$E$36+X11*Supuestos!$E$37+X12*Supuestos!$E$38</f>
        <v/>
      </c>
      <c r="Y17" s="13">
        <f>Y10*Supuestos!$E$36+Y11*Supuestos!$E$37+Y12*Supuestos!$E$38</f>
        <v/>
      </c>
      <c r="Z17" s="13">
        <f>Z10*Supuestos!$E$36+Z11*Supuestos!$E$37+Z12*Supuestos!$E$38</f>
        <v/>
      </c>
      <c r="AA17" s="13">
        <f>AA10*Supuestos!$E$36+AA11*Supuestos!$E$37+AA12*Supuestos!$E$38</f>
        <v/>
      </c>
      <c r="AB17" s="13">
        <f>AB10*Supuestos!$E$36+AB11*Supuestos!$E$37+AB12*Supuestos!$E$38</f>
        <v/>
      </c>
      <c r="AC17" s="13">
        <f>AC10*Supuestos!$E$36+AC11*Supuestos!$E$37+AC12*Supuestos!$E$38</f>
        <v/>
      </c>
      <c r="AD17" s="13">
        <f>AD10*Supuestos!$E$36+AD11*Supuestos!$E$37+AD12*Supuestos!$E$38</f>
        <v/>
      </c>
      <c r="AE17" s="13">
        <f>AE10*Supuestos!$E$36+AE11*Supuestos!$E$37+AE12*Supuestos!$E$38</f>
        <v/>
      </c>
      <c r="AF17" s="13">
        <f>AF10*Supuestos!$E$36+AF11*Supuestos!$E$37+AF12*Supuestos!$E$38</f>
        <v/>
      </c>
      <c r="AG17" s="13">
        <f>AG10*Supuestos!$E$36+AG11*Supuestos!$E$37+AG12*Supuestos!$E$38</f>
        <v/>
      </c>
      <c r="AH17" s="13">
        <f>AH10*Supuestos!$E$36+AH11*Supuestos!$E$37+AH12*Supuestos!$E$38</f>
        <v/>
      </c>
      <c r="AI17" s="13">
        <f>AI10*Supuestos!$E$36+AI11*Supuestos!$E$37+AI12*Supuestos!$E$38</f>
        <v/>
      </c>
      <c r="AJ17" s="13">
        <f>AJ10*Supuestos!$E$36+AJ11*Supuestos!$E$37+AJ12*Supuestos!$E$38</f>
        <v/>
      </c>
      <c r="AK17" s="13">
        <f>AK10*Supuestos!$E$36+AK11*Supuestos!$E$37+AK12*Supuestos!$E$38</f>
        <v/>
      </c>
      <c r="AL17" s="13">
        <f>AL10*Supuestos!$E$36+AL11*Supuestos!$E$37+AL12*Supuestos!$E$38</f>
        <v/>
      </c>
    </row>
    <row r="18">
      <c r="A18" s="8" t="inlineStr">
        <is>
          <t>Costos fijos</t>
        </is>
      </c>
      <c r="B18" s="13" t="n">
        <v>0</v>
      </c>
      <c r="C18" s="13">
        <f>Supuestos!$E$43+Supuestos!$E$44+Supuestos!$E$45+Supuestos!$E$46+Supuestos!$E$47+Supuestos!$E$48+Supuestos!$E$49+Supuestos!$E$50</f>
        <v/>
      </c>
      <c r="D18" s="13">
        <f>Supuestos!$E$43+Supuestos!$E$44+Supuestos!$E$45+Supuestos!$E$46+Supuestos!$E$47+Supuestos!$E$48+Supuestos!$E$49+Supuestos!$E$50</f>
        <v/>
      </c>
      <c r="E18" s="13">
        <f>Supuestos!$E$43+Supuestos!$E$44+Supuestos!$E$45+Supuestos!$E$46+Supuestos!$E$47+Supuestos!$E$48+Supuestos!$E$49+Supuestos!$E$50</f>
        <v/>
      </c>
      <c r="F18" s="13">
        <f>Supuestos!$E$43+Supuestos!$E$44+Supuestos!$E$45+Supuestos!$E$46+Supuestos!$E$47+Supuestos!$E$48+Supuestos!$E$49+Supuestos!$E$50</f>
        <v/>
      </c>
      <c r="G18" s="13">
        <f>Supuestos!$E$43+Supuestos!$E$44+Supuestos!$E$45+Supuestos!$E$46+Supuestos!$E$47+Supuestos!$E$48+Supuestos!$E$49+Supuestos!$E$50</f>
        <v/>
      </c>
      <c r="H18" s="13">
        <f>Supuestos!$E$43+Supuestos!$E$44+Supuestos!$E$45+Supuestos!$E$46+Supuestos!$E$47+Supuestos!$E$48+Supuestos!$E$49+Supuestos!$E$50</f>
        <v/>
      </c>
      <c r="I18" s="13">
        <f>Supuestos!$E$43+Supuestos!$E$44+Supuestos!$E$45+Supuestos!$E$46+Supuestos!$E$47+Supuestos!$E$48+Supuestos!$E$49+Supuestos!$E$50</f>
        <v/>
      </c>
      <c r="J18" s="13">
        <f>Supuestos!$E$43+Supuestos!$E$44+Supuestos!$E$45+Supuestos!$E$46+Supuestos!$E$47+Supuestos!$E$48+Supuestos!$E$49+Supuestos!$E$50</f>
        <v/>
      </c>
      <c r="K18" s="13">
        <f>Supuestos!$E$43+Supuestos!$E$44+Supuestos!$E$45+Supuestos!$E$46+Supuestos!$E$47+Supuestos!$E$48+Supuestos!$E$49+Supuestos!$E$50</f>
        <v/>
      </c>
      <c r="L18" s="13">
        <f>Supuestos!$E$43+Supuestos!$E$44+Supuestos!$E$45+Supuestos!$E$46+Supuestos!$E$47+Supuestos!$E$48+Supuestos!$E$49+Supuestos!$E$50</f>
        <v/>
      </c>
      <c r="M18" s="13">
        <f>Supuestos!$E$43+Supuestos!$E$44+Supuestos!$E$45+Supuestos!$E$46+Supuestos!$E$47+Supuestos!$E$48+Supuestos!$E$49+Supuestos!$E$50</f>
        <v/>
      </c>
      <c r="N18" s="13">
        <f>Supuestos!$E$43+Supuestos!$E$44+Supuestos!$E$45+Supuestos!$E$46+Supuestos!$E$47+Supuestos!$E$48+Supuestos!$E$49+Supuestos!$E$50</f>
        <v/>
      </c>
      <c r="O18" s="13">
        <f>Supuestos!$E$43+Supuestos!$E$44+Supuestos!$E$45+Supuestos!$E$46+Supuestos!$E$47+Supuestos!$E$48+Supuestos!$E$49+Supuestos!$E$50</f>
        <v/>
      </c>
      <c r="P18" s="13">
        <f>Supuestos!$E$43+Supuestos!$E$44+Supuestos!$E$45+Supuestos!$E$46+Supuestos!$E$47+Supuestos!$E$48+Supuestos!$E$49+Supuestos!$E$50</f>
        <v/>
      </c>
      <c r="Q18" s="13">
        <f>Supuestos!$E$43+Supuestos!$E$44+Supuestos!$E$45+Supuestos!$E$46+Supuestos!$E$47+Supuestos!$E$48+Supuestos!$E$49+Supuestos!$E$50</f>
        <v/>
      </c>
      <c r="R18" s="13">
        <f>Supuestos!$E$43+Supuestos!$E$44+Supuestos!$E$45+Supuestos!$E$46+Supuestos!$E$47+Supuestos!$E$48+Supuestos!$E$49+Supuestos!$E$50</f>
        <v/>
      </c>
      <c r="S18" s="13">
        <f>Supuestos!$E$43+Supuestos!$E$44+Supuestos!$E$45+Supuestos!$E$46+Supuestos!$E$47+Supuestos!$E$48+Supuestos!$E$49+Supuestos!$E$50</f>
        <v/>
      </c>
      <c r="T18" s="13">
        <f>Supuestos!$E$43+Supuestos!$E$44+Supuestos!$E$45+Supuestos!$E$46+Supuestos!$E$47+Supuestos!$E$48+Supuestos!$E$49+Supuestos!$E$50</f>
        <v/>
      </c>
      <c r="U18" s="13">
        <f>Supuestos!$E$43+Supuestos!$E$44+Supuestos!$E$45+Supuestos!$E$46+Supuestos!$E$47+Supuestos!$E$48+Supuestos!$E$49+Supuestos!$E$50</f>
        <v/>
      </c>
      <c r="V18" s="13">
        <f>Supuestos!$E$43+Supuestos!$E$44+Supuestos!$E$45+Supuestos!$E$46+Supuestos!$E$47+Supuestos!$E$48+Supuestos!$E$49+Supuestos!$E$50</f>
        <v/>
      </c>
      <c r="W18" s="13">
        <f>Supuestos!$E$43+Supuestos!$E$44+Supuestos!$E$45+Supuestos!$E$46+Supuestos!$E$47+Supuestos!$E$48+Supuestos!$E$49+Supuestos!$E$50</f>
        <v/>
      </c>
      <c r="X18" s="13">
        <f>Supuestos!$E$43+Supuestos!$E$44+Supuestos!$E$45+Supuestos!$E$46+Supuestos!$E$47+Supuestos!$E$48+Supuestos!$E$49+Supuestos!$E$50</f>
        <v/>
      </c>
      <c r="Y18" s="13">
        <f>Supuestos!$E$43+Supuestos!$E$44+Supuestos!$E$45+Supuestos!$E$46+Supuestos!$E$47+Supuestos!$E$48+Supuestos!$E$49+Supuestos!$E$50</f>
        <v/>
      </c>
      <c r="Z18" s="13">
        <f>Supuestos!$E$43+Supuestos!$E$44+Supuestos!$E$45+Supuestos!$E$46+Supuestos!$E$47+Supuestos!$E$48+Supuestos!$E$49+Supuestos!$E$50</f>
        <v/>
      </c>
      <c r="AA18" s="13">
        <f>Supuestos!$E$43+Supuestos!$E$44+Supuestos!$E$45+Supuestos!$E$46+Supuestos!$E$47+Supuestos!$E$48+Supuestos!$E$49+Supuestos!$E$50</f>
        <v/>
      </c>
      <c r="AB18" s="13">
        <f>Supuestos!$E$43+Supuestos!$E$44+Supuestos!$E$45+Supuestos!$E$46+Supuestos!$E$47+Supuestos!$E$48+Supuestos!$E$49+Supuestos!$E$50</f>
        <v/>
      </c>
      <c r="AC18" s="13">
        <f>Supuestos!$E$43+Supuestos!$E$44+Supuestos!$E$45+Supuestos!$E$46+Supuestos!$E$47+Supuestos!$E$48+Supuestos!$E$49+Supuestos!$E$50</f>
        <v/>
      </c>
      <c r="AD18" s="13">
        <f>Supuestos!$E$43+Supuestos!$E$44+Supuestos!$E$45+Supuestos!$E$46+Supuestos!$E$47+Supuestos!$E$48+Supuestos!$E$49+Supuestos!$E$50</f>
        <v/>
      </c>
      <c r="AE18" s="13">
        <f>Supuestos!$E$43+Supuestos!$E$44+Supuestos!$E$45+Supuestos!$E$46+Supuestos!$E$47+Supuestos!$E$48+Supuestos!$E$49+Supuestos!$E$50</f>
        <v/>
      </c>
      <c r="AF18" s="13">
        <f>Supuestos!$E$43+Supuestos!$E$44+Supuestos!$E$45+Supuestos!$E$46+Supuestos!$E$47+Supuestos!$E$48+Supuestos!$E$49+Supuestos!$E$50</f>
        <v/>
      </c>
      <c r="AG18" s="13">
        <f>Supuestos!$E$43+Supuestos!$E$44+Supuestos!$E$45+Supuestos!$E$46+Supuestos!$E$47+Supuestos!$E$48+Supuestos!$E$49+Supuestos!$E$50</f>
        <v/>
      </c>
      <c r="AH18" s="13">
        <f>Supuestos!$E$43+Supuestos!$E$44+Supuestos!$E$45+Supuestos!$E$46+Supuestos!$E$47+Supuestos!$E$48+Supuestos!$E$49+Supuestos!$E$50</f>
        <v/>
      </c>
      <c r="AI18" s="13">
        <f>Supuestos!$E$43+Supuestos!$E$44+Supuestos!$E$45+Supuestos!$E$46+Supuestos!$E$47+Supuestos!$E$48+Supuestos!$E$49+Supuestos!$E$50</f>
        <v/>
      </c>
      <c r="AJ18" s="13">
        <f>Supuestos!$E$43+Supuestos!$E$44+Supuestos!$E$45+Supuestos!$E$46+Supuestos!$E$47+Supuestos!$E$48+Supuestos!$E$49+Supuestos!$E$50</f>
        <v/>
      </c>
      <c r="AK18" s="13">
        <f>Supuestos!$E$43+Supuestos!$E$44+Supuestos!$E$45+Supuestos!$E$46+Supuestos!$E$47+Supuestos!$E$48+Supuestos!$E$49+Supuestos!$E$50</f>
        <v/>
      </c>
      <c r="AL18" s="13">
        <f>Supuestos!$E$43+Supuestos!$E$44+Supuestos!$E$45+Supuestos!$E$46+Supuestos!$E$47+Supuestos!$E$48+Supuestos!$E$49+Supuestos!$E$50</f>
        <v/>
      </c>
    </row>
    <row r="19">
      <c r="A19" s="5" t="inlineStr">
        <is>
          <t>Resultado operativo (antes de impuestos)</t>
        </is>
      </c>
      <c r="B19" s="11" t="n">
        <v>0</v>
      </c>
      <c r="C19" s="11">
        <f>C8+C9-C16-C17-C18</f>
        <v/>
      </c>
      <c r="D19" s="11">
        <f>D8+D9-D16-D17-D18</f>
        <v/>
      </c>
      <c r="E19" s="11">
        <f>E8+E9-E16-E17-E18</f>
        <v/>
      </c>
      <c r="F19" s="11">
        <f>F8+F9-F16-F17-F18</f>
        <v/>
      </c>
      <c r="G19" s="11">
        <f>G8+G9-G16-G17-G18</f>
        <v/>
      </c>
      <c r="H19" s="11">
        <f>H8+H9-H16-H17-H18</f>
        <v/>
      </c>
      <c r="I19" s="11">
        <f>I8+I9-I16-I17-I18</f>
        <v/>
      </c>
      <c r="J19" s="11">
        <f>J8+J9-J16-J17-J18</f>
        <v/>
      </c>
      <c r="K19" s="11">
        <f>K8+K9-K16-K17-K18</f>
        <v/>
      </c>
      <c r="L19" s="11">
        <f>L8+L9-L16-L17-L18</f>
        <v/>
      </c>
      <c r="M19" s="11">
        <f>M8+M9-M16-M17-M18</f>
        <v/>
      </c>
      <c r="N19" s="11">
        <f>N8+N9-N16-N17-N18</f>
        <v/>
      </c>
      <c r="O19" s="11">
        <f>O8+O9-O16-O17-O18</f>
        <v/>
      </c>
      <c r="P19" s="11">
        <f>P8+P9-P16-P17-P18</f>
        <v/>
      </c>
      <c r="Q19" s="11">
        <f>Q8+Q9-Q16-Q17-Q18</f>
        <v/>
      </c>
      <c r="R19" s="11">
        <f>R8+R9-R16-R17-R18</f>
        <v/>
      </c>
      <c r="S19" s="11">
        <f>S8+S9-S16-S17-S18</f>
        <v/>
      </c>
      <c r="T19" s="11">
        <f>T8+T9-T16-T17-T18</f>
        <v/>
      </c>
      <c r="U19" s="11">
        <f>U8+U9-U16-U17-U18</f>
        <v/>
      </c>
      <c r="V19" s="11">
        <f>V8+V9-V16-V17-V18</f>
        <v/>
      </c>
      <c r="W19" s="11">
        <f>W8+W9-W16-W17-W18</f>
        <v/>
      </c>
      <c r="X19" s="11">
        <f>X8+X9-X16-X17-X18</f>
        <v/>
      </c>
      <c r="Y19" s="11">
        <f>Y8+Y9-Y16-Y17-Y18</f>
        <v/>
      </c>
      <c r="Z19" s="11">
        <f>Z8+Z9-Z16-Z17-Z18</f>
        <v/>
      </c>
      <c r="AA19" s="11">
        <f>AA8+AA9-AA16-AA17-AA18</f>
        <v/>
      </c>
      <c r="AB19" s="11">
        <f>AB8+AB9-AB16-AB17-AB18</f>
        <v/>
      </c>
      <c r="AC19" s="11">
        <f>AC8+AC9-AC16-AC17-AC18</f>
        <v/>
      </c>
      <c r="AD19" s="11">
        <f>AD8+AD9-AD16-AD17-AD18</f>
        <v/>
      </c>
      <c r="AE19" s="11">
        <f>AE8+AE9-AE16-AE17-AE18</f>
        <v/>
      </c>
      <c r="AF19" s="11">
        <f>AF8+AF9-AF16-AF17-AF18</f>
        <v/>
      </c>
      <c r="AG19" s="11">
        <f>AG8+AG9-AG16-AG17-AG18</f>
        <v/>
      </c>
      <c r="AH19" s="11">
        <f>AH8+AH9-AH16-AH17-AH18</f>
        <v/>
      </c>
      <c r="AI19" s="11">
        <f>AI8+AI9-AI16-AI17-AI18</f>
        <v/>
      </c>
      <c r="AJ19" s="11">
        <f>AJ8+AJ9-AJ16-AJ17-AJ18</f>
        <v/>
      </c>
      <c r="AK19" s="11">
        <f>AK8+AK9-AK16-AK17-AK18</f>
        <v/>
      </c>
      <c r="AL19" s="11">
        <f>AL8+AL9-AL16-AL17-AL18</f>
        <v/>
      </c>
    </row>
    <row r="20">
      <c r="A20" s="8" t="inlineStr">
        <is>
          <t>Impuestos y participación</t>
        </is>
      </c>
      <c r="B20" s="13" t="n">
        <v>0</v>
      </c>
      <c r="C20" s="13">
        <f>MAX(0,C19)*Supuestos!$E$53</f>
        <v/>
      </c>
      <c r="D20" s="13">
        <f>MAX(0,D19)*Supuestos!$E$53</f>
        <v/>
      </c>
      <c r="E20" s="13">
        <f>MAX(0,E19)*Supuestos!$E$53</f>
        <v/>
      </c>
      <c r="F20" s="13">
        <f>MAX(0,F19)*Supuestos!$E$53</f>
        <v/>
      </c>
      <c r="G20" s="13">
        <f>MAX(0,G19)*Supuestos!$E$53</f>
        <v/>
      </c>
      <c r="H20" s="13">
        <f>MAX(0,H19)*Supuestos!$E$53</f>
        <v/>
      </c>
      <c r="I20" s="13">
        <f>MAX(0,I19)*Supuestos!$E$53</f>
        <v/>
      </c>
      <c r="J20" s="13">
        <f>MAX(0,J19)*Supuestos!$E$53</f>
        <v/>
      </c>
      <c r="K20" s="13">
        <f>MAX(0,K19)*Supuestos!$E$53</f>
        <v/>
      </c>
      <c r="L20" s="13">
        <f>MAX(0,L19)*Supuestos!$E$53</f>
        <v/>
      </c>
      <c r="M20" s="13">
        <f>MAX(0,M19)*Supuestos!$E$53</f>
        <v/>
      </c>
      <c r="N20" s="13">
        <f>MAX(0,N19)*Supuestos!$E$53</f>
        <v/>
      </c>
      <c r="O20" s="13">
        <f>MAX(0,O19)*Supuestos!$E$53</f>
        <v/>
      </c>
      <c r="P20" s="13">
        <f>MAX(0,P19)*Supuestos!$E$53</f>
        <v/>
      </c>
      <c r="Q20" s="13">
        <f>MAX(0,Q19)*Supuestos!$E$53</f>
        <v/>
      </c>
      <c r="R20" s="13">
        <f>MAX(0,R19)*Supuestos!$E$53</f>
        <v/>
      </c>
      <c r="S20" s="13">
        <f>MAX(0,S19)*Supuestos!$E$53</f>
        <v/>
      </c>
      <c r="T20" s="13">
        <f>MAX(0,T19)*Supuestos!$E$53</f>
        <v/>
      </c>
      <c r="U20" s="13">
        <f>MAX(0,U19)*Supuestos!$E$53</f>
        <v/>
      </c>
      <c r="V20" s="13">
        <f>MAX(0,V19)*Supuestos!$E$53</f>
        <v/>
      </c>
      <c r="W20" s="13">
        <f>MAX(0,W19)*Supuestos!$E$53</f>
        <v/>
      </c>
      <c r="X20" s="13">
        <f>MAX(0,X19)*Supuestos!$E$53</f>
        <v/>
      </c>
      <c r="Y20" s="13">
        <f>MAX(0,Y19)*Supuestos!$E$53</f>
        <v/>
      </c>
      <c r="Z20" s="13">
        <f>MAX(0,Z19)*Supuestos!$E$53</f>
        <v/>
      </c>
      <c r="AA20" s="13">
        <f>MAX(0,AA19)*Supuestos!$E$53</f>
        <v/>
      </c>
      <c r="AB20" s="13">
        <f>MAX(0,AB19)*Supuestos!$E$53</f>
        <v/>
      </c>
      <c r="AC20" s="13">
        <f>MAX(0,AC19)*Supuestos!$E$53</f>
        <v/>
      </c>
      <c r="AD20" s="13">
        <f>MAX(0,AD19)*Supuestos!$E$53</f>
        <v/>
      </c>
      <c r="AE20" s="13">
        <f>MAX(0,AE19)*Supuestos!$E$53</f>
        <v/>
      </c>
      <c r="AF20" s="13">
        <f>MAX(0,AF19)*Supuestos!$E$53</f>
        <v/>
      </c>
      <c r="AG20" s="13">
        <f>MAX(0,AG19)*Supuestos!$E$53</f>
        <v/>
      </c>
      <c r="AH20" s="13">
        <f>MAX(0,AH19)*Supuestos!$E$53</f>
        <v/>
      </c>
      <c r="AI20" s="13">
        <f>MAX(0,AI19)*Supuestos!$E$53</f>
        <v/>
      </c>
      <c r="AJ20" s="13">
        <f>MAX(0,AJ19)*Supuestos!$E$53</f>
        <v/>
      </c>
      <c r="AK20" s="13">
        <f>MAX(0,AK19)*Supuestos!$E$53</f>
        <v/>
      </c>
      <c r="AL20" s="13">
        <f>MAX(0,AL19)*Supuestos!$E$53</f>
        <v/>
      </c>
    </row>
    <row r="21">
      <c r="A21" s="5" t="inlineStr">
        <is>
          <t>Flujo de caja neto</t>
        </is>
      </c>
      <c r="B21" s="11">
        <f>-Supuestos!$E$52</f>
        <v/>
      </c>
      <c r="C21" s="11">
        <f>C19-C20</f>
        <v/>
      </c>
      <c r="D21" s="11">
        <f>D19-D20</f>
        <v/>
      </c>
      <c r="E21" s="11">
        <f>E19-E20</f>
        <v/>
      </c>
      <c r="F21" s="11">
        <f>F19-F20</f>
        <v/>
      </c>
      <c r="G21" s="11">
        <f>G19-G20</f>
        <v/>
      </c>
      <c r="H21" s="11">
        <f>H19-H20</f>
        <v/>
      </c>
      <c r="I21" s="11">
        <f>I19-I20</f>
        <v/>
      </c>
      <c r="J21" s="11">
        <f>J19-J20</f>
        <v/>
      </c>
      <c r="K21" s="11">
        <f>K19-K20</f>
        <v/>
      </c>
      <c r="L21" s="11">
        <f>L19-L20</f>
        <v/>
      </c>
      <c r="M21" s="11">
        <f>M19-M20</f>
        <v/>
      </c>
      <c r="N21" s="11">
        <f>N19-N20</f>
        <v/>
      </c>
      <c r="O21" s="11">
        <f>O19-O20</f>
        <v/>
      </c>
      <c r="P21" s="11">
        <f>P19-P20</f>
        <v/>
      </c>
      <c r="Q21" s="11">
        <f>Q19-Q20</f>
        <v/>
      </c>
      <c r="R21" s="11">
        <f>R19-R20</f>
        <v/>
      </c>
      <c r="S21" s="11">
        <f>S19-S20</f>
        <v/>
      </c>
      <c r="T21" s="11">
        <f>T19-T20</f>
        <v/>
      </c>
      <c r="U21" s="11">
        <f>U19-U20</f>
        <v/>
      </c>
      <c r="V21" s="11">
        <f>V19-V20</f>
        <v/>
      </c>
      <c r="W21" s="11">
        <f>W19-W20</f>
        <v/>
      </c>
      <c r="X21" s="11">
        <f>X19-X20</f>
        <v/>
      </c>
      <c r="Y21" s="11">
        <f>Y19-Y20</f>
        <v/>
      </c>
      <c r="Z21" s="11">
        <f>Z19-Z20</f>
        <v/>
      </c>
      <c r="AA21" s="11">
        <f>AA19-AA20</f>
        <v/>
      </c>
      <c r="AB21" s="11">
        <f>AB19-AB20</f>
        <v/>
      </c>
      <c r="AC21" s="11">
        <f>AC19-AC20</f>
        <v/>
      </c>
      <c r="AD21" s="11">
        <f>AD19-AD20</f>
        <v/>
      </c>
      <c r="AE21" s="11">
        <f>AE19-AE20</f>
        <v/>
      </c>
      <c r="AF21" s="11">
        <f>AF19-AF20</f>
        <v/>
      </c>
      <c r="AG21" s="11">
        <f>AG19-AG20</f>
        <v/>
      </c>
      <c r="AH21" s="11">
        <f>AH19-AH20</f>
        <v/>
      </c>
      <c r="AI21" s="11">
        <f>AI19-AI20</f>
        <v/>
      </c>
      <c r="AJ21" s="11">
        <f>AJ19-AJ20</f>
        <v/>
      </c>
      <c r="AK21" s="11">
        <f>AK19-AK20</f>
        <v/>
      </c>
      <c r="AL21" s="11">
        <f>AL19-AL20</f>
        <v/>
      </c>
    </row>
    <row r="22">
      <c r="A22" s="5" t="inlineStr">
        <is>
          <t>Flujo acumulado</t>
        </is>
      </c>
      <c r="B22" s="11">
        <f>B21</f>
        <v/>
      </c>
      <c r="C22" s="11">
        <f>B22+C21</f>
        <v/>
      </c>
      <c r="D22" s="11">
        <f>C22+D21</f>
        <v/>
      </c>
      <c r="E22" s="11">
        <f>D22+E21</f>
        <v/>
      </c>
      <c r="F22" s="11">
        <f>E22+F21</f>
        <v/>
      </c>
      <c r="G22" s="11">
        <f>F22+G21</f>
        <v/>
      </c>
      <c r="H22" s="11">
        <f>G22+H21</f>
        <v/>
      </c>
      <c r="I22" s="11">
        <f>H22+I21</f>
        <v/>
      </c>
      <c r="J22" s="11">
        <f>I22+J21</f>
        <v/>
      </c>
      <c r="K22" s="11">
        <f>J22+K21</f>
        <v/>
      </c>
      <c r="L22" s="11">
        <f>K22+L21</f>
        <v/>
      </c>
      <c r="M22" s="11">
        <f>L22+M21</f>
        <v/>
      </c>
      <c r="N22" s="11">
        <f>M22+N21</f>
        <v/>
      </c>
      <c r="O22" s="11">
        <f>N22+O21</f>
        <v/>
      </c>
      <c r="P22" s="11">
        <f>O22+P21</f>
        <v/>
      </c>
      <c r="Q22" s="11">
        <f>P22+Q21</f>
        <v/>
      </c>
      <c r="R22" s="11">
        <f>Q22+R21</f>
        <v/>
      </c>
      <c r="S22" s="11">
        <f>R22+S21</f>
        <v/>
      </c>
      <c r="T22" s="11">
        <f>S22+T21</f>
        <v/>
      </c>
      <c r="U22" s="11">
        <f>T22+U21</f>
        <v/>
      </c>
      <c r="V22" s="11">
        <f>U22+V21</f>
        <v/>
      </c>
      <c r="W22" s="11">
        <f>V22+W21</f>
        <v/>
      </c>
      <c r="X22" s="11">
        <f>W22+X21</f>
        <v/>
      </c>
      <c r="Y22" s="11">
        <f>X22+Y21</f>
        <v/>
      </c>
      <c r="Z22" s="11">
        <f>Y22+Z21</f>
        <v/>
      </c>
      <c r="AA22" s="11">
        <f>Z22+AA21</f>
        <v/>
      </c>
      <c r="AB22" s="11">
        <f>AA22+AB21</f>
        <v/>
      </c>
      <c r="AC22" s="11">
        <f>AB22+AC21</f>
        <v/>
      </c>
      <c r="AD22" s="11">
        <f>AC22+AD21</f>
        <v/>
      </c>
      <c r="AE22" s="11">
        <f>AD22+AE21</f>
        <v/>
      </c>
      <c r="AF22" s="11">
        <f>AE22+AF21</f>
        <v/>
      </c>
      <c r="AG22" s="11">
        <f>AF22+AG21</f>
        <v/>
      </c>
      <c r="AH22" s="11">
        <f>AG22+AH21</f>
        <v/>
      </c>
      <c r="AI22" s="11">
        <f>AH22+AI21</f>
        <v/>
      </c>
      <c r="AJ22" s="11">
        <f>AI22+AJ21</f>
        <v/>
      </c>
      <c r="AK22" s="11">
        <f>AJ22+AK21</f>
        <v/>
      </c>
      <c r="AL22" s="11">
        <f>AK22+AL21</f>
        <v/>
      </c>
    </row>
    <row r="23">
      <c r="A23" s="8" t="inlineStr">
        <is>
          <t>Marca de recupero</t>
        </is>
      </c>
      <c r="B23" s="43">
        <f>""</f>
        <v/>
      </c>
      <c r="C23" s="43">
        <f>IF(AND(C22&gt;=0,B22&lt;0),C$3,"")</f>
        <v/>
      </c>
      <c r="D23" s="43">
        <f>IF(AND(D22&gt;=0,C22&lt;0),D$3,"")</f>
        <v/>
      </c>
      <c r="E23" s="43">
        <f>IF(AND(E22&gt;=0,D22&lt;0),E$3,"")</f>
        <v/>
      </c>
      <c r="F23" s="43">
        <f>IF(AND(F22&gt;=0,E22&lt;0),F$3,"")</f>
        <v/>
      </c>
      <c r="G23" s="43">
        <f>IF(AND(G22&gt;=0,F22&lt;0),G$3,"")</f>
        <v/>
      </c>
      <c r="H23" s="43">
        <f>IF(AND(H22&gt;=0,G22&lt;0),H$3,"")</f>
        <v/>
      </c>
      <c r="I23" s="43">
        <f>IF(AND(I22&gt;=0,H22&lt;0),I$3,"")</f>
        <v/>
      </c>
      <c r="J23" s="43">
        <f>IF(AND(J22&gt;=0,I22&lt;0),J$3,"")</f>
        <v/>
      </c>
      <c r="K23" s="43">
        <f>IF(AND(K22&gt;=0,J22&lt;0),K$3,"")</f>
        <v/>
      </c>
      <c r="L23" s="43">
        <f>IF(AND(L22&gt;=0,K22&lt;0),L$3,"")</f>
        <v/>
      </c>
      <c r="M23" s="43">
        <f>IF(AND(M22&gt;=0,L22&lt;0),M$3,"")</f>
        <v/>
      </c>
      <c r="N23" s="43">
        <f>IF(AND(N22&gt;=0,M22&lt;0),N$3,"")</f>
        <v/>
      </c>
      <c r="O23" s="43">
        <f>IF(AND(O22&gt;=0,N22&lt;0),O$3,"")</f>
        <v/>
      </c>
      <c r="P23" s="43">
        <f>IF(AND(P22&gt;=0,O22&lt;0),P$3,"")</f>
        <v/>
      </c>
      <c r="Q23" s="43">
        <f>IF(AND(Q22&gt;=0,P22&lt;0),Q$3,"")</f>
        <v/>
      </c>
      <c r="R23" s="43">
        <f>IF(AND(R22&gt;=0,Q22&lt;0),R$3,"")</f>
        <v/>
      </c>
      <c r="S23" s="43">
        <f>IF(AND(S22&gt;=0,R22&lt;0),S$3,"")</f>
        <v/>
      </c>
      <c r="T23" s="43">
        <f>IF(AND(T22&gt;=0,S22&lt;0),T$3,"")</f>
        <v/>
      </c>
      <c r="U23" s="43">
        <f>IF(AND(U22&gt;=0,T22&lt;0),U$3,"")</f>
        <v/>
      </c>
      <c r="V23" s="43">
        <f>IF(AND(V22&gt;=0,U22&lt;0),V$3,"")</f>
        <v/>
      </c>
      <c r="W23" s="43">
        <f>IF(AND(W22&gt;=0,V22&lt;0),W$3,"")</f>
        <v/>
      </c>
      <c r="X23" s="43">
        <f>IF(AND(X22&gt;=0,W22&lt;0),X$3,"")</f>
        <v/>
      </c>
      <c r="Y23" s="43">
        <f>IF(AND(Y22&gt;=0,X22&lt;0),Y$3,"")</f>
        <v/>
      </c>
      <c r="Z23" s="43">
        <f>IF(AND(Z22&gt;=0,Y22&lt;0),Z$3,"")</f>
        <v/>
      </c>
      <c r="AA23" s="43">
        <f>IF(AND(AA22&gt;=0,Z22&lt;0),AA$3,"")</f>
        <v/>
      </c>
      <c r="AB23" s="43">
        <f>IF(AND(AB22&gt;=0,AA22&lt;0),AB$3,"")</f>
        <v/>
      </c>
      <c r="AC23" s="43">
        <f>IF(AND(AC22&gt;=0,AB22&lt;0),AC$3,"")</f>
        <v/>
      </c>
      <c r="AD23" s="43">
        <f>IF(AND(AD22&gt;=0,AC22&lt;0),AD$3,"")</f>
        <v/>
      </c>
      <c r="AE23" s="43">
        <f>IF(AND(AE22&gt;=0,AD22&lt;0),AE$3,"")</f>
        <v/>
      </c>
      <c r="AF23" s="43">
        <f>IF(AND(AF22&gt;=0,AE22&lt;0),AF$3,"")</f>
        <v/>
      </c>
      <c r="AG23" s="43">
        <f>IF(AND(AG22&gt;=0,AF22&lt;0),AG$3,"")</f>
        <v/>
      </c>
      <c r="AH23" s="43">
        <f>IF(AND(AH22&gt;=0,AG22&lt;0),AH$3,"")</f>
        <v/>
      </c>
      <c r="AI23" s="43">
        <f>IF(AND(AI22&gt;=0,AH22&lt;0),AI$3,"")</f>
        <v/>
      </c>
      <c r="AJ23" s="43">
        <f>IF(AND(AJ22&gt;=0,AI22&lt;0),AJ$3,"")</f>
        <v/>
      </c>
      <c r="AK23" s="43">
        <f>IF(AND(AK22&gt;=0,AJ22&lt;0),AK$3,"")</f>
        <v/>
      </c>
      <c r="AL23" s="43">
        <f>IF(AND(AL22&gt;=0,AK22&lt;0),AL$3,"")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2026-10-07T22:34:43Z</dcterms:created>
  <dcterms:modified xsi:type="dcterms:W3CDTF">2026-10-07T22:36:32Z</dcterms:modified>
</cp:coreProperties>
</file>