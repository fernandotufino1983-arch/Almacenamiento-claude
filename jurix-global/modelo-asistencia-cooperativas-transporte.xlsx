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Flujo 36 me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;(0.0%);-"/>
    <numFmt numFmtId="165" formatCode="$#,##0;($#,##0);-"/>
    <numFmt numFmtId="166" formatCode="#,##0;(#,##0);-"/>
    <numFmt numFmtId="167" formatCode="#,##0.0;(#,##0.0);-"/>
    <numFmt numFmtId="168" formatCode="$#,##0.00;($#,##0.00);-"/>
    <numFmt numFmtId="169" formatCode="0.00&quot;x&quot;"/>
    <numFmt numFmtId="170" formatCode="0.0&quot;x&quot;"/>
    <numFmt numFmtId="171" formatCode="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i val="1"/>
      <color rgb="0059595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0" fontId="6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167" fontId="3" fillId="0" borderId="0" pivotButton="0" quotePrefix="0" xfId="0"/>
    <xf numFmtId="166" fontId="3" fillId="0" borderId="0" pivotButton="0" quotePrefix="0" xfId="0"/>
    <xf numFmtId="169" fontId="6" fillId="0" borderId="0" pivotButton="0" quotePrefix="0" xfId="0"/>
    <xf numFmtId="170" fontId="4" fillId="0" borderId="0" pivotButton="0" quotePrefix="0" xfId="0"/>
    <xf numFmtId="165" fontId="4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4" borderId="0" pivotButton="0" quotePrefix="0" xfId="0"/>
    <xf numFmtId="0" fontId="0" fillId="4" borderId="0" pivotButton="0" quotePrefix="0" xfId="0"/>
    <xf numFmtId="166" fontId="4" fillId="2" borderId="0" pivotButton="0" quotePrefix="0" xfId="0"/>
    <xf numFmtId="165" fontId="4" fillId="2" borderId="0" pivotButton="0" quotePrefix="0" xfId="0"/>
    <xf numFmtId="168" fontId="4" fillId="2" borderId="0" pivotButton="0" quotePrefix="0" xfId="0"/>
    <xf numFmtId="168" fontId="3" fillId="0" borderId="0" pivotButton="0" quotePrefix="0" xfId="0"/>
    <xf numFmtId="164" fontId="4" fillId="0" borderId="0" pivotButton="0" quotePrefix="0" xfId="0"/>
    <xf numFmtId="164" fontId="4" fillId="2" borderId="0" pivotButton="0" quotePrefix="0" xfId="0"/>
    <xf numFmtId="167" fontId="4" fillId="2" borderId="0" pivotButton="0" quotePrefix="0" xfId="0"/>
    <xf numFmtId="166" fontId="4" fillId="0" borderId="0" pivotButton="0" quotePrefix="0" xfId="0"/>
    <xf numFmtId="171" fontId="4" fillId="2" borderId="0" pivotButton="0" quotePrefix="0" xfId="0"/>
    <xf numFmtId="171" fontId="3" fillId="0" borderId="0" pivotButton="0" quotePrefix="0" xfId="0"/>
    <xf numFmtId="167" fontId="4" fillId="0" borderId="0" pivotButton="0" quotePrefix="0" xfId="0"/>
    <xf numFmtId="165" fontId="4" fillId="0" borderId="0" pivotButton="0" quotePrefix="0" xfId="0"/>
    <xf numFmtId="0" fontId="5" fillId="3" borderId="0" applyAlignment="1" pivotButton="0" quotePrefix="0" xfId="0">
      <alignment horizontal="center"/>
    </xf>
    <xf numFmtId="171" fontId="6" fillId="0" borderId="0" pivotButton="0" quotePrefix="0" xfId="0"/>
    <xf numFmtId="164" fontId="3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167" fontId="3" fillId="0" borderId="0" pivotButton="0" quotePrefix="0" xfId="0"/>
    <xf numFmtId="166" fontId="3" fillId="0" borderId="0" pivotButton="0" quotePrefix="0" xfId="0"/>
    <xf numFmtId="169" fontId="6" fillId="0" borderId="0" pivotButton="0" quotePrefix="0" xfId="0"/>
    <xf numFmtId="170" fontId="4" fillId="0" borderId="0" pivotButton="0" quotePrefix="0" xfId="0"/>
    <xf numFmtId="167" fontId="0" fillId="0" borderId="0" applyAlignment="1" pivotButton="0" quotePrefix="0" xfId="0">
      <alignment horizontal="center"/>
    </xf>
    <xf numFmtId="166" fontId="4" fillId="2" borderId="0" pivotButton="0" quotePrefix="0" xfId="0"/>
    <xf numFmtId="168" fontId="4" fillId="2" borderId="0" pivotButton="0" quotePrefix="0" xfId="0"/>
    <xf numFmtId="168" fontId="3" fillId="0" borderId="0" pivotButton="0" quotePrefix="0" xfId="0"/>
    <xf numFmtId="164" fontId="4" fillId="0" borderId="0" pivotButton="0" quotePrefix="0" xfId="0"/>
    <xf numFmtId="164" fontId="4" fillId="2" borderId="0" pivotButton="0" quotePrefix="0" xfId="0"/>
    <xf numFmtId="167" fontId="4" fillId="2" borderId="0" pivotButton="0" quotePrefix="0" xfId="0"/>
    <xf numFmtId="166" fontId="4" fillId="0" borderId="0" pivotButton="0" quotePrefix="0" xfId="0"/>
    <xf numFmtId="171" fontId="4" fillId="2" borderId="0" pivotButton="0" quotePrefix="0" xfId="0"/>
    <xf numFmtId="171" fontId="3" fillId="0" borderId="0" pivotButton="0" quotePrefix="0" xfId="0"/>
    <xf numFmtId="167" fontId="4" fillId="0" borderId="0" pivotButton="0" quotePrefix="0" xfId="0"/>
    <xf numFmtId="171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Resumen financiero — Plan de Asistencia Legal a Cooperativas de Transporte</t>
        </is>
      </c>
    </row>
    <row r="2">
      <c r="A2" s="2" t="inlineStr">
        <is>
          <t>Cambie el escenario en Supuestos!B4. Todos los valores se recalculan.</t>
        </is>
      </c>
    </row>
    <row r="4">
      <c r="A4" s="3" t="inlineStr">
        <is>
          <t>Rentabilidad del proyecto (36 meses, después de impuestos)</t>
        </is>
      </c>
      <c r="B4" s="4" t="n"/>
      <c r="C4" s="4" t="n"/>
    </row>
    <row r="5">
      <c r="A5" s="5" t="inlineStr">
        <is>
          <t>Escenario activo</t>
        </is>
      </c>
      <c r="B5" s="6">
        <f>INDEX(Supuestos!B6:D6,1,Supuestos!B4)</f>
        <v/>
      </c>
      <c r="C5" s="7" t="inlineStr"/>
    </row>
    <row r="6">
      <c r="A6" s="8" t="inlineStr">
        <is>
          <t>TIR mensual</t>
        </is>
      </c>
      <c r="B6" s="9">
        <f>IFERROR(IRR('Flujo 36 meses'!B20:AL20),"No hay TIR (no recupera)")</f>
        <v/>
      </c>
      <c r="C6" s="7" t="inlineStr"/>
    </row>
    <row r="7">
      <c r="A7" s="5" t="inlineStr">
        <is>
          <t>TIR anual equivalente</t>
        </is>
      </c>
      <c r="B7" s="41">
        <f>IFERROR((1+B6)^12-1,"No hay TIR")</f>
        <v/>
      </c>
      <c r="C7" s="7" t="inlineStr">
        <is>
          <t>comparar contra la tasa de descuento</t>
        </is>
      </c>
    </row>
    <row r="8">
      <c r="A8" s="5" t="inlineStr">
        <is>
          <t>VAN al costo de oportunidad</t>
        </is>
      </c>
      <c r="B8" s="11">
        <f>'Flujo 36 meses'!B20+NPV((1+Supuestos!$E$48)^(1/12)-1,'Flujo 36 meses'!C20:AL20)</f>
        <v/>
      </c>
      <c r="C8" s="7" t="inlineStr">
        <is>
          <t>&gt; 0 significa que crea valor</t>
        </is>
      </c>
    </row>
    <row r="9">
      <c r="A9" s="8" t="inlineStr">
        <is>
          <t>Mes de recupero de la inversión</t>
        </is>
      </c>
      <c r="B9" s="42">
        <f>IF(COUNT('Flujo 36 meses'!C22:AL22)=0,"No recupera en 36 meses",MIN('Flujo 36 meses'!C22:AL22))</f>
        <v/>
      </c>
      <c r="C9" s="7" t="inlineStr"/>
    </row>
    <row r="10">
      <c r="A10" s="8" t="inlineStr">
        <is>
          <t>Peor caja acumulada (capital de trabajo necesario)</t>
        </is>
      </c>
      <c r="B10" s="13">
        <f>MIN('Flujo 36 meses'!B21:AL21)</f>
        <v/>
      </c>
      <c r="C10" s="7" t="inlineStr">
        <is>
          <t>plata que hay que tener disponible antes de que el plan se pague solo</t>
        </is>
      </c>
    </row>
    <row r="11">
      <c r="A11" s="8" t="inlineStr">
        <is>
          <t>Flujo acumulado al mes 36</t>
        </is>
      </c>
      <c r="B11" s="13">
        <f>'Flujo 36 meses'!AL21</f>
        <v/>
      </c>
      <c r="C11" s="7" t="inlineStr"/>
    </row>
    <row r="12">
      <c r="A12" s="8" t="inlineStr">
        <is>
          <t>Cooperativas activas al mes 36</t>
        </is>
      </c>
      <c r="B12" s="43">
        <f>'Flujo 36 meses'!AL4</f>
        <v/>
      </c>
      <c r="C12" s="7" t="inlineStr"/>
    </row>
    <row r="13">
      <c r="A13" s="8" t="inlineStr">
        <is>
          <t>Ingreso cobrado mes 36</t>
        </is>
      </c>
      <c r="B13" s="13">
        <f>'Flujo 36 meses'!AL8</f>
        <v/>
      </c>
      <c r="C13" s="7" t="inlineStr"/>
    </row>
    <row r="14">
      <c r="A14" s="8" t="inlineStr">
        <is>
          <t>Margen operativo mes 36</t>
        </is>
      </c>
      <c r="B14" s="44">
        <f>IFERROR('Flujo 36 meses'!AL18/B13,0)</f>
        <v/>
      </c>
      <c r="C14" s="7" t="inlineStr"/>
    </row>
    <row r="16">
      <c r="A16" s="3" t="inlineStr">
        <is>
          <t>Punto de equilibrio (régimen estable, antes de impuestos)</t>
        </is>
      </c>
      <c r="B16" s="4" t="n"/>
      <c r="C16" s="4" t="n"/>
    </row>
    <row r="17">
      <c r="A17" s="8" t="inlineStr">
        <is>
          <t>Ingreso cobrado por cooperativa (mensual)</t>
        </is>
      </c>
      <c r="B17" s="13">
        <f>(Supuestos!$E$9+Supuestos!$E$8*Supuestos!$E$10)*(1-Supuestos!$E$12*Supuestos!$E$13)*(1-Supuestos!$E$14)</f>
        <v/>
      </c>
      <c r="C17" s="7" t="inlineStr"/>
    </row>
    <row r="18">
      <c r="A18" s="8" t="inlineStr">
        <is>
          <t>Horas de abogado por cooperativa (mensual)</t>
        </is>
      </c>
      <c r="B18" s="43">
        <f>Supuestos!$E$24+Supuestos!$E$8*(Supuestos!$E$19*Supuestos!$E$25+Supuestos!$E$20*Supuestos!$E$26+Supuestos!$E$21*Supuestos!$E$27+Supuestos!$E$22*Supuestos!$E$28)/12</f>
        <v/>
      </c>
      <c r="C18" s="7" t="inlineStr"/>
    </row>
    <row r="19">
      <c r="A19" s="8" t="inlineStr">
        <is>
          <t>Costo por hora de abogado</t>
        </is>
      </c>
      <c r="B19" s="45">
        <f>Supuestos!$E$34/Supuestos!$E$35</f>
        <v/>
      </c>
      <c r="C19" s="7" t="inlineStr"/>
    </row>
    <row r="20">
      <c r="A20" s="8" t="inlineStr">
        <is>
          <t>Costo de abogado por cooperativa (mensual)</t>
        </is>
      </c>
      <c r="B20" s="13">
        <f>B18*B19</f>
        <v/>
      </c>
      <c r="C20" s="7" t="inlineStr"/>
    </row>
    <row r="21">
      <c r="A21" s="8" t="inlineStr">
        <is>
          <t>Gastos directos por cooperativa (mensual)</t>
        </is>
      </c>
      <c r="B21" s="13">
        <f>Supuestos!$E$8*(Supuestos!$E$19*Supuestos!$E$30+Supuestos!$E$20*Supuestos!$E$31+Supuestos!$E$21*Supuestos!$E$32)/12</f>
        <v/>
      </c>
      <c r="C21" s="7" t="inlineStr"/>
    </row>
    <row r="22">
      <c r="A22" s="5" t="inlineStr">
        <is>
          <t>Contribución por cooperativa (mensual)</t>
        </is>
      </c>
      <c r="B22" s="11">
        <f>B17-B20-B21</f>
        <v/>
      </c>
      <c r="C22" s="7" t="inlineStr">
        <is>
          <t>lo que deja cada cooperativa para cubrir fijos</t>
        </is>
      </c>
    </row>
    <row r="23">
      <c r="A23" s="8" t="inlineStr">
        <is>
          <t>Costos fijos (sin abogados)</t>
        </is>
      </c>
      <c r="B23" s="13">
        <f>Supuestos!$E$37+Supuestos!$E$38+Supuestos!$E$39+Supuestos!$E$40+Supuestos!$E$41+Supuestos!$E$42+Supuestos!$E$43+Supuestos!$E$44</f>
        <v/>
      </c>
      <c r="C23" s="7" t="inlineStr"/>
    </row>
    <row r="24">
      <c r="A24" s="5" t="inlineStr">
        <is>
          <t>PUNTO DE EQUILIBRIO — cooperativas</t>
        </is>
      </c>
      <c r="B24" s="46">
        <f>IF(B22&lt;=0,"Nunca: cada cooperativa pierde plata",B23/B22)</f>
        <v/>
      </c>
      <c r="C24" s="7" t="inlineStr"/>
    </row>
    <row r="25">
      <c r="A25" s="5" t="inlineStr">
        <is>
          <t>PUNTO DE EQUILIBRIO — buses</t>
        </is>
      </c>
      <c r="B25" s="47">
        <f>IF(B22&lt;=0,"Nunca",B24*Supuestos!$E$8)</f>
        <v/>
      </c>
      <c r="C25" s="7" t="inlineStr"/>
    </row>
    <row r="26">
      <c r="A26" s="8" t="inlineStr">
        <is>
          <t>Siniestralidad máxima tolerable (multiplicador sobre la supuesta)</t>
        </is>
      </c>
      <c r="B26" s="48">
        <f>IFERROR((B17-B23/MAX(1,Supuestos!$E$17/2)-Supuestos!$E$24*B19)/(B18*B19-Supuestos!$E$24*B19+B21),0)</f>
        <v/>
      </c>
      <c r="C26" s="7" t="inlineStr">
        <is>
          <t>con la mitad del techo de cooperativas: si los siniestros se multiplican por más que esto, se pierde dinero</t>
        </is>
      </c>
    </row>
    <row r="27">
      <c r="A27" s="8" t="inlineStr">
        <is>
          <t>Cuota mínima por bus para equilibrio con 5 cooperativas</t>
        </is>
      </c>
      <c r="B27" s="45">
        <f>((B23/5+B20+B21)/((1-Supuestos!$E$12*Supuestos!$E$13)*(1-Supuestos!$E$14))-Supuestos!$E$9)/Supuestos!$E$8</f>
        <v/>
      </c>
      <c r="C27" s="7" t="inlineStr">
        <is>
          <t>USD/bus/mes</t>
        </is>
      </c>
    </row>
    <row r="29">
      <c r="A29" s="3" t="inlineStr">
        <is>
          <t>Sensibilidad: punto de equilibrio (cooperativas) según cuota por bus y siniestralidad</t>
        </is>
      </c>
      <c r="B29" s="4" t="n"/>
      <c r="C29" s="4" t="n"/>
    </row>
    <row r="30">
      <c r="A30" s="5" t="inlineStr">
        <is>
          <t>Cuota por bus (USD/mes) ↓   ·   multiplicador de siniestralidad →</t>
        </is>
      </c>
      <c r="B30" s="49" t="n">
        <v>0.5</v>
      </c>
      <c r="C30" s="49" t="n">
        <v>1</v>
      </c>
      <c r="D30" s="49" t="n">
        <v>1.5</v>
      </c>
      <c r="E30" s="49" t="n">
        <v>2</v>
      </c>
      <c r="F30" s="49" t="n">
        <v>3</v>
      </c>
    </row>
    <row r="31">
      <c r="A31" s="21" t="n">
        <v>10</v>
      </c>
      <c r="B31" s="50">
        <f>IF((Supuestos!$E$9+Supuestos!$E$8*$A31)*(1-Supuestos!$E$12*Supuestos!$E$13)*(1-Supuestos!$E$14)-(Supuestos!$E$24*$B$19+B$30*(Supuestos!$E$8*(Supuestos!$E$19*Supuestos!$E$25+Supuestos!$E$20*Supuestos!$E$26+Supuestos!$E$21*Supuestos!$E$27+Supuestos!$E$22*Supuestos!$E$28)/12*$B$19+$B$21))&lt;=0,"Pierde",$B$23/((Supuestos!$E$9+Supuestos!$E$8*$A31)*(1-Supuestos!$E$12*Supuestos!$E$13)*(1-Supuestos!$E$14)-(Supuestos!$E$24*$B$19+B$30*(Supuestos!$E$8*(Supuestos!$E$19*Supuestos!$E$25+Supuestos!$E$20*Supuestos!$E$26+Supuestos!$E$21*Supuestos!$E$27+Supuestos!$E$22*Supuestos!$E$28)/12*$B$19+$B$21))))</f>
        <v/>
      </c>
      <c r="C31" s="50">
        <f>IF((Supuestos!$E$9+Supuestos!$E$8*$A31)*(1-Supuestos!$E$12*Supuestos!$E$13)*(1-Supuestos!$E$14)-(Supuestos!$E$24*$B$19+C$30*(Supuestos!$E$8*(Supuestos!$E$19*Supuestos!$E$25+Supuestos!$E$20*Supuestos!$E$26+Supuestos!$E$21*Supuestos!$E$27+Supuestos!$E$22*Supuestos!$E$28)/12*$B$19+$B$21))&lt;=0,"Pierde",$B$23/((Supuestos!$E$9+Supuestos!$E$8*$A31)*(1-Supuestos!$E$12*Supuestos!$E$13)*(1-Supuestos!$E$14)-(Supuestos!$E$24*$B$19+C$30*(Supuestos!$E$8*(Supuestos!$E$19*Supuestos!$E$25+Supuestos!$E$20*Supuestos!$E$26+Supuestos!$E$21*Supuestos!$E$27+Supuestos!$E$22*Supuestos!$E$28)/12*$B$19+$B$21))))</f>
        <v/>
      </c>
      <c r="D31" s="50">
        <f>IF((Supuestos!$E$9+Supuestos!$E$8*$A31)*(1-Supuestos!$E$12*Supuestos!$E$13)*(1-Supuestos!$E$14)-(Supuestos!$E$24*$B$19+D$30*(Supuestos!$E$8*(Supuestos!$E$19*Supuestos!$E$25+Supuestos!$E$20*Supuestos!$E$26+Supuestos!$E$21*Supuestos!$E$27+Supuestos!$E$22*Supuestos!$E$28)/12*$B$19+$B$21))&lt;=0,"Pierde",$B$23/((Supuestos!$E$9+Supuestos!$E$8*$A31)*(1-Supuestos!$E$12*Supuestos!$E$13)*(1-Supuestos!$E$14)-(Supuestos!$E$24*$B$19+D$30*(Supuestos!$E$8*(Supuestos!$E$19*Supuestos!$E$25+Supuestos!$E$20*Supuestos!$E$26+Supuestos!$E$21*Supuestos!$E$27+Supuestos!$E$22*Supuestos!$E$28)/12*$B$19+$B$21))))</f>
        <v/>
      </c>
      <c r="E31" s="50">
        <f>IF((Supuestos!$E$9+Supuestos!$E$8*$A31)*(1-Supuestos!$E$12*Supuestos!$E$13)*(1-Supuestos!$E$14)-(Supuestos!$E$24*$B$19+E$30*(Supuestos!$E$8*(Supuestos!$E$19*Supuestos!$E$25+Supuestos!$E$20*Supuestos!$E$26+Supuestos!$E$21*Supuestos!$E$27+Supuestos!$E$22*Supuestos!$E$28)/12*$B$19+$B$21))&lt;=0,"Pierde",$B$23/((Supuestos!$E$9+Supuestos!$E$8*$A31)*(1-Supuestos!$E$12*Supuestos!$E$13)*(1-Supuestos!$E$14)-(Supuestos!$E$24*$B$19+E$30*(Supuestos!$E$8*(Supuestos!$E$19*Supuestos!$E$25+Supuestos!$E$20*Supuestos!$E$26+Supuestos!$E$21*Supuestos!$E$27+Supuestos!$E$22*Supuestos!$E$28)/12*$B$19+$B$21))))</f>
        <v/>
      </c>
      <c r="F31" s="50">
        <f>IF((Supuestos!$E$9+Supuestos!$E$8*$A31)*(1-Supuestos!$E$12*Supuestos!$E$13)*(1-Supuestos!$E$14)-(Supuestos!$E$24*$B$19+F$30*(Supuestos!$E$8*(Supuestos!$E$19*Supuestos!$E$25+Supuestos!$E$20*Supuestos!$E$26+Supuestos!$E$21*Supuestos!$E$27+Supuestos!$E$22*Supuestos!$E$28)/12*$B$19+$B$21))&lt;=0,"Pierde",$B$23/((Supuestos!$E$9+Supuestos!$E$8*$A31)*(1-Supuestos!$E$12*Supuestos!$E$13)*(1-Supuestos!$E$14)-(Supuestos!$E$24*$B$19+F$30*(Supuestos!$E$8*(Supuestos!$E$19*Supuestos!$E$25+Supuestos!$E$20*Supuestos!$E$26+Supuestos!$E$21*Supuestos!$E$27+Supuestos!$E$22*Supuestos!$E$28)/12*$B$19+$B$21))))</f>
        <v/>
      </c>
    </row>
    <row r="32">
      <c r="A32" s="21" t="n">
        <v>12</v>
      </c>
      <c r="B32" s="50">
        <f>IF((Supuestos!$E$9+Supuestos!$E$8*$A32)*(1-Supuestos!$E$12*Supuestos!$E$13)*(1-Supuestos!$E$14)-(Supuestos!$E$24*$B$19+B$30*(Supuestos!$E$8*(Supuestos!$E$19*Supuestos!$E$25+Supuestos!$E$20*Supuestos!$E$26+Supuestos!$E$21*Supuestos!$E$27+Supuestos!$E$22*Supuestos!$E$28)/12*$B$19+$B$21))&lt;=0,"Pierde",$B$23/((Supuestos!$E$9+Supuestos!$E$8*$A32)*(1-Supuestos!$E$12*Supuestos!$E$13)*(1-Supuestos!$E$14)-(Supuestos!$E$24*$B$19+B$30*(Supuestos!$E$8*(Supuestos!$E$19*Supuestos!$E$25+Supuestos!$E$20*Supuestos!$E$26+Supuestos!$E$21*Supuestos!$E$27+Supuestos!$E$22*Supuestos!$E$28)/12*$B$19+$B$21))))</f>
        <v/>
      </c>
      <c r="C32" s="50">
        <f>IF((Supuestos!$E$9+Supuestos!$E$8*$A32)*(1-Supuestos!$E$12*Supuestos!$E$13)*(1-Supuestos!$E$14)-(Supuestos!$E$24*$B$19+C$30*(Supuestos!$E$8*(Supuestos!$E$19*Supuestos!$E$25+Supuestos!$E$20*Supuestos!$E$26+Supuestos!$E$21*Supuestos!$E$27+Supuestos!$E$22*Supuestos!$E$28)/12*$B$19+$B$21))&lt;=0,"Pierde",$B$23/((Supuestos!$E$9+Supuestos!$E$8*$A32)*(1-Supuestos!$E$12*Supuestos!$E$13)*(1-Supuestos!$E$14)-(Supuestos!$E$24*$B$19+C$30*(Supuestos!$E$8*(Supuestos!$E$19*Supuestos!$E$25+Supuestos!$E$20*Supuestos!$E$26+Supuestos!$E$21*Supuestos!$E$27+Supuestos!$E$22*Supuestos!$E$28)/12*$B$19+$B$21))))</f>
        <v/>
      </c>
      <c r="D32" s="50">
        <f>IF((Supuestos!$E$9+Supuestos!$E$8*$A32)*(1-Supuestos!$E$12*Supuestos!$E$13)*(1-Supuestos!$E$14)-(Supuestos!$E$24*$B$19+D$30*(Supuestos!$E$8*(Supuestos!$E$19*Supuestos!$E$25+Supuestos!$E$20*Supuestos!$E$26+Supuestos!$E$21*Supuestos!$E$27+Supuestos!$E$22*Supuestos!$E$28)/12*$B$19+$B$21))&lt;=0,"Pierde",$B$23/((Supuestos!$E$9+Supuestos!$E$8*$A32)*(1-Supuestos!$E$12*Supuestos!$E$13)*(1-Supuestos!$E$14)-(Supuestos!$E$24*$B$19+D$30*(Supuestos!$E$8*(Supuestos!$E$19*Supuestos!$E$25+Supuestos!$E$20*Supuestos!$E$26+Supuestos!$E$21*Supuestos!$E$27+Supuestos!$E$22*Supuestos!$E$28)/12*$B$19+$B$21))))</f>
        <v/>
      </c>
      <c r="E32" s="50">
        <f>IF((Supuestos!$E$9+Supuestos!$E$8*$A32)*(1-Supuestos!$E$12*Supuestos!$E$13)*(1-Supuestos!$E$14)-(Supuestos!$E$24*$B$19+E$30*(Supuestos!$E$8*(Supuestos!$E$19*Supuestos!$E$25+Supuestos!$E$20*Supuestos!$E$26+Supuestos!$E$21*Supuestos!$E$27+Supuestos!$E$22*Supuestos!$E$28)/12*$B$19+$B$21))&lt;=0,"Pierde",$B$23/((Supuestos!$E$9+Supuestos!$E$8*$A32)*(1-Supuestos!$E$12*Supuestos!$E$13)*(1-Supuestos!$E$14)-(Supuestos!$E$24*$B$19+E$30*(Supuestos!$E$8*(Supuestos!$E$19*Supuestos!$E$25+Supuestos!$E$20*Supuestos!$E$26+Supuestos!$E$21*Supuestos!$E$27+Supuestos!$E$22*Supuestos!$E$28)/12*$B$19+$B$21))))</f>
        <v/>
      </c>
      <c r="F32" s="50">
        <f>IF((Supuestos!$E$9+Supuestos!$E$8*$A32)*(1-Supuestos!$E$12*Supuestos!$E$13)*(1-Supuestos!$E$14)-(Supuestos!$E$24*$B$19+F$30*(Supuestos!$E$8*(Supuestos!$E$19*Supuestos!$E$25+Supuestos!$E$20*Supuestos!$E$26+Supuestos!$E$21*Supuestos!$E$27+Supuestos!$E$22*Supuestos!$E$28)/12*$B$19+$B$21))&lt;=0,"Pierde",$B$23/((Supuestos!$E$9+Supuestos!$E$8*$A32)*(1-Supuestos!$E$12*Supuestos!$E$13)*(1-Supuestos!$E$14)-(Supuestos!$E$24*$B$19+F$30*(Supuestos!$E$8*(Supuestos!$E$19*Supuestos!$E$25+Supuestos!$E$20*Supuestos!$E$26+Supuestos!$E$21*Supuestos!$E$27+Supuestos!$E$22*Supuestos!$E$28)/12*$B$19+$B$21))))</f>
        <v/>
      </c>
    </row>
    <row r="33">
      <c r="A33" s="21" t="n">
        <v>15</v>
      </c>
      <c r="B33" s="50">
        <f>IF((Supuestos!$E$9+Supuestos!$E$8*$A33)*(1-Supuestos!$E$12*Supuestos!$E$13)*(1-Supuestos!$E$14)-(Supuestos!$E$24*$B$19+B$30*(Supuestos!$E$8*(Supuestos!$E$19*Supuestos!$E$25+Supuestos!$E$20*Supuestos!$E$26+Supuestos!$E$21*Supuestos!$E$27+Supuestos!$E$22*Supuestos!$E$28)/12*$B$19+$B$21))&lt;=0,"Pierde",$B$23/((Supuestos!$E$9+Supuestos!$E$8*$A33)*(1-Supuestos!$E$12*Supuestos!$E$13)*(1-Supuestos!$E$14)-(Supuestos!$E$24*$B$19+B$30*(Supuestos!$E$8*(Supuestos!$E$19*Supuestos!$E$25+Supuestos!$E$20*Supuestos!$E$26+Supuestos!$E$21*Supuestos!$E$27+Supuestos!$E$22*Supuestos!$E$28)/12*$B$19+$B$21))))</f>
        <v/>
      </c>
      <c r="C33" s="50">
        <f>IF((Supuestos!$E$9+Supuestos!$E$8*$A33)*(1-Supuestos!$E$12*Supuestos!$E$13)*(1-Supuestos!$E$14)-(Supuestos!$E$24*$B$19+C$30*(Supuestos!$E$8*(Supuestos!$E$19*Supuestos!$E$25+Supuestos!$E$20*Supuestos!$E$26+Supuestos!$E$21*Supuestos!$E$27+Supuestos!$E$22*Supuestos!$E$28)/12*$B$19+$B$21))&lt;=0,"Pierde",$B$23/((Supuestos!$E$9+Supuestos!$E$8*$A33)*(1-Supuestos!$E$12*Supuestos!$E$13)*(1-Supuestos!$E$14)-(Supuestos!$E$24*$B$19+C$30*(Supuestos!$E$8*(Supuestos!$E$19*Supuestos!$E$25+Supuestos!$E$20*Supuestos!$E$26+Supuestos!$E$21*Supuestos!$E$27+Supuestos!$E$22*Supuestos!$E$28)/12*$B$19+$B$21))))</f>
        <v/>
      </c>
      <c r="D33" s="50">
        <f>IF((Supuestos!$E$9+Supuestos!$E$8*$A33)*(1-Supuestos!$E$12*Supuestos!$E$13)*(1-Supuestos!$E$14)-(Supuestos!$E$24*$B$19+D$30*(Supuestos!$E$8*(Supuestos!$E$19*Supuestos!$E$25+Supuestos!$E$20*Supuestos!$E$26+Supuestos!$E$21*Supuestos!$E$27+Supuestos!$E$22*Supuestos!$E$28)/12*$B$19+$B$21))&lt;=0,"Pierde",$B$23/((Supuestos!$E$9+Supuestos!$E$8*$A33)*(1-Supuestos!$E$12*Supuestos!$E$13)*(1-Supuestos!$E$14)-(Supuestos!$E$24*$B$19+D$30*(Supuestos!$E$8*(Supuestos!$E$19*Supuestos!$E$25+Supuestos!$E$20*Supuestos!$E$26+Supuestos!$E$21*Supuestos!$E$27+Supuestos!$E$22*Supuestos!$E$28)/12*$B$19+$B$21))))</f>
        <v/>
      </c>
      <c r="E33" s="50">
        <f>IF((Supuestos!$E$9+Supuestos!$E$8*$A33)*(1-Supuestos!$E$12*Supuestos!$E$13)*(1-Supuestos!$E$14)-(Supuestos!$E$24*$B$19+E$30*(Supuestos!$E$8*(Supuestos!$E$19*Supuestos!$E$25+Supuestos!$E$20*Supuestos!$E$26+Supuestos!$E$21*Supuestos!$E$27+Supuestos!$E$22*Supuestos!$E$28)/12*$B$19+$B$21))&lt;=0,"Pierde",$B$23/((Supuestos!$E$9+Supuestos!$E$8*$A33)*(1-Supuestos!$E$12*Supuestos!$E$13)*(1-Supuestos!$E$14)-(Supuestos!$E$24*$B$19+E$30*(Supuestos!$E$8*(Supuestos!$E$19*Supuestos!$E$25+Supuestos!$E$20*Supuestos!$E$26+Supuestos!$E$21*Supuestos!$E$27+Supuestos!$E$22*Supuestos!$E$28)/12*$B$19+$B$21))))</f>
        <v/>
      </c>
      <c r="F33" s="50">
        <f>IF((Supuestos!$E$9+Supuestos!$E$8*$A33)*(1-Supuestos!$E$12*Supuestos!$E$13)*(1-Supuestos!$E$14)-(Supuestos!$E$24*$B$19+F$30*(Supuestos!$E$8*(Supuestos!$E$19*Supuestos!$E$25+Supuestos!$E$20*Supuestos!$E$26+Supuestos!$E$21*Supuestos!$E$27+Supuestos!$E$22*Supuestos!$E$28)/12*$B$19+$B$21))&lt;=0,"Pierde",$B$23/((Supuestos!$E$9+Supuestos!$E$8*$A33)*(1-Supuestos!$E$12*Supuestos!$E$13)*(1-Supuestos!$E$14)-(Supuestos!$E$24*$B$19+F$30*(Supuestos!$E$8*(Supuestos!$E$19*Supuestos!$E$25+Supuestos!$E$20*Supuestos!$E$26+Supuestos!$E$21*Supuestos!$E$27+Supuestos!$E$22*Supuestos!$E$28)/12*$B$19+$B$21))))</f>
        <v/>
      </c>
    </row>
    <row r="34">
      <c r="A34" s="21" t="n">
        <v>18</v>
      </c>
      <c r="B34" s="50">
        <f>IF((Supuestos!$E$9+Supuestos!$E$8*$A34)*(1-Supuestos!$E$12*Supuestos!$E$13)*(1-Supuestos!$E$14)-(Supuestos!$E$24*$B$19+B$30*(Supuestos!$E$8*(Supuestos!$E$19*Supuestos!$E$25+Supuestos!$E$20*Supuestos!$E$26+Supuestos!$E$21*Supuestos!$E$27+Supuestos!$E$22*Supuestos!$E$28)/12*$B$19+$B$21))&lt;=0,"Pierde",$B$23/((Supuestos!$E$9+Supuestos!$E$8*$A34)*(1-Supuestos!$E$12*Supuestos!$E$13)*(1-Supuestos!$E$14)-(Supuestos!$E$24*$B$19+B$30*(Supuestos!$E$8*(Supuestos!$E$19*Supuestos!$E$25+Supuestos!$E$20*Supuestos!$E$26+Supuestos!$E$21*Supuestos!$E$27+Supuestos!$E$22*Supuestos!$E$28)/12*$B$19+$B$21))))</f>
        <v/>
      </c>
      <c r="C34" s="50">
        <f>IF((Supuestos!$E$9+Supuestos!$E$8*$A34)*(1-Supuestos!$E$12*Supuestos!$E$13)*(1-Supuestos!$E$14)-(Supuestos!$E$24*$B$19+C$30*(Supuestos!$E$8*(Supuestos!$E$19*Supuestos!$E$25+Supuestos!$E$20*Supuestos!$E$26+Supuestos!$E$21*Supuestos!$E$27+Supuestos!$E$22*Supuestos!$E$28)/12*$B$19+$B$21))&lt;=0,"Pierde",$B$23/((Supuestos!$E$9+Supuestos!$E$8*$A34)*(1-Supuestos!$E$12*Supuestos!$E$13)*(1-Supuestos!$E$14)-(Supuestos!$E$24*$B$19+C$30*(Supuestos!$E$8*(Supuestos!$E$19*Supuestos!$E$25+Supuestos!$E$20*Supuestos!$E$26+Supuestos!$E$21*Supuestos!$E$27+Supuestos!$E$22*Supuestos!$E$28)/12*$B$19+$B$21))))</f>
        <v/>
      </c>
      <c r="D34" s="50">
        <f>IF((Supuestos!$E$9+Supuestos!$E$8*$A34)*(1-Supuestos!$E$12*Supuestos!$E$13)*(1-Supuestos!$E$14)-(Supuestos!$E$24*$B$19+D$30*(Supuestos!$E$8*(Supuestos!$E$19*Supuestos!$E$25+Supuestos!$E$20*Supuestos!$E$26+Supuestos!$E$21*Supuestos!$E$27+Supuestos!$E$22*Supuestos!$E$28)/12*$B$19+$B$21))&lt;=0,"Pierde",$B$23/((Supuestos!$E$9+Supuestos!$E$8*$A34)*(1-Supuestos!$E$12*Supuestos!$E$13)*(1-Supuestos!$E$14)-(Supuestos!$E$24*$B$19+D$30*(Supuestos!$E$8*(Supuestos!$E$19*Supuestos!$E$25+Supuestos!$E$20*Supuestos!$E$26+Supuestos!$E$21*Supuestos!$E$27+Supuestos!$E$22*Supuestos!$E$28)/12*$B$19+$B$21))))</f>
        <v/>
      </c>
      <c r="E34" s="50">
        <f>IF((Supuestos!$E$9+Supuestos!$E$8*$A34)*(1-Supuestos!$E$12*Supuestos!$E$13)*(1-Supuestos!$E$14)-(Supuestos!$E$24*$B$19+E$30*(Supuestos!$E$8*(Supuestos!$E$19*Supuestos!$E$25+Supuestos!$E$20*Supuestos!$E$26+Supuestos!$E$21*Supuestos!$E$27+Supuestos!$E$22*Supuestos!$E$28)/12*$B$19+$B$21))&lt;=0,"Pierde",$B$23/((Supuestos!$E$9+Supuestos!$E$8*$A34)*(1-Supuestos!$E$12*Supuestos!$E$13)*(1-Supuestos!$E$14)-(Supuestos!$E$24*$B$19+E$30*(Supuestos!$E$8*(Supuestos!$E$19*Supuestos!$E$25+Supuestos!$E$20*Supuestos!$E$26+Supuestos!$E$21*Supuestos!$E$27+Supuestos!$E$22*Supuestos!$E$28)/12*$B$19+$B$21))))</f>
        <v/>
      </c>
      <c r="F34" s="50">
        <f>IF((Supuestos!$E$9+Supuestos!$E$8*$A34)*(1-Supuestos!$E$12*Supuestos!$E$13)*(1-Supuestos!$E$14)-(Supuestos!$E$24*$B$19+F$30*(Supuestos!$E$8*(Supuestos!$E$19*Supuestos!$E$25+Supuestos!$E$20*Supuestos!$E$26+Supuestos!$E$21*Supuestos!$E$27+Supuestos!$E$22*Supuestos!$E$28)/12*$B$19+$B$21))&lt;=0,"Pierde",$B$23/((Supuestos!$E$9+Supuestos!$E$8*$A34)*(1-Supuestos!$E$12*Supuestos!$E$13)*(1-Supuestos!$E$14)-(Supuestos!$E$24*$B$19+F$30*(Supuestos!$E$8*(Supuestos!$E$19*Supuestos!$E$25+Supuestos!$E$20*Supuestos!$E$26+Supuestos!$E$21*Supuestos!$E$27+Supuestos!$E$22*Supuestos!$E$28)/12*$B$19+$B$21))))</f>
        <v/>
      </c>
    </row>
    <row r="35">
      <c r="A35" s="21" t="n">
        <v>20</v>
      </c>
      <c r="B35" s="50">
        <f>IF((Supuestos!$E$9+Supuestos!$E$8*$A35)*(1-Supuestos!$E$12*Supuestos!$E$13)*(1-Supuestos!$E$14)-(Supuestos!$E$24*$B$19+B$30*(Supuestos!$E$8*(Supuestos!$E$19*Supuestos!$E$25+Supuestos!$E$20*Supuestos!$E$26+Supuestos!$E$21*Supuestos!$E$27+Supuestos!$E$22*Supuestos!$E$28)/12*$B$19+$B$21))&lt;=0,"Pierde",$B$23/((Supuestos!$E$9+Supuestos!$E$8*$A35)*(1-Supuestos!$E$12*Supuestos!$E$13)*(1-Supuestos!$E$14)-(Supuestos!$E$24*$B$19+B$30*(Supuestos!$E$8*(Supuestos!$E$19*Supuestos!$E$25+Supuestos!$E$20*Supuestos!$E$26+Supuestos!$E$21*Supuestos!$E$27+Supuestos!$E$22*Supuestos!$E$28)/12*$B$19+$B$21))))</f>
        <v/>
      </c>
      <c r="C35" s="50">
        <f>IF((Supuestos!$E$9+Supuestos!$E$8*$A35)*(1-Supuestos!$E$12*Supuestos!$E$13)*(1-Supuestos!$E$14)-(Supuestos!$E$24*$B$19+C$30*(Supuestos!$E$8*(Supuestos!$E$19*Supuestos!$E$25+Supuestos!$E$20*Supuestos!$E$26+Supuestos!$E$21*Supuestos!$E$27+Supuestos!$E$22*Supuestos!$E$28)/12*$B$19+$B$21))&lt;=0,"Pierde",$B$23/((Supuestos!$E$9+Supuestos!$E$8*$A35)*(1-Supuestos!$E$12*Supuestos!$E$13)*(1-Supuestos!$E$14)-(Supuestos!$E$24*$B$19+C$30*(Supuestos!$E$8*(Supuestos!$E$19*Supuestos!$E$25+Supuestos!$E$20*Supuestos!$E$26+Supuestos!$E$21*Supuestos!$E$27+Supuestos!$E$22*Supuestos!$E$28)/12*$B$19+$B$21))))</f>
        <v/>
      </c>
      <c r="D35" s="50">
        <f>IF((Supuestos!$E$9+Supuestos!$E$8*$A35)*(1-Supuestos!$E$12*Supuestos!$E$13)*(1-Supuestos!$E$14)-(Supuestos!$E$24*$B$19+D$30*(Supuestos!$E$8*(Supuestos!$E$19*Supuestos!$E$25+Supuestos!$E$20*Supuestos!$E$26+Supuestos!$E$21*Supuestos!$E$27+Supuestos!$E$22*Supuestos!$E$28)/12*$B$19+$B$21))&lt;=0,"Pierde",$B$23/((Supuestos!$E$9+Supuestos!$E$8*$A35)*(1-Supuestos!$E$12*Supuestos!$E$13)*(1-Supuestos!$E$14)-(Supuestos!$E$24*$B$19+D$30*(Supuestos!$E$8*(Supuestos!$E$19*Supuestos!$E$25+Supuestos!$E$20*Supuestos!$E$26+Supuestos!$E$21*Supuestos!$E$27+Supuestos!$E$22*Supuestos!$E$28)/12*$B$19+$B$21))))</f>
        <v/>
      </c>
      <c r="E35" s="50">
        <f>IF((Supuestos!$E$9+Supuestos!$E$8*$A35)*(1-Supuestos!$E$12*Supuestos!$E$13)*(1-Supuestos!$E$14)-(Supuestos!$E$24*$B$19+E$30*(Supuestos!$E$8*(Supuestos!$E$19*Supuestos!$E$25+Supuestos!$E$20*Supuestos!$E$26+Supuestos!$E$21*Supuestos!$E$27+Supuestos!$E$22*Supuestos!$E$28)/12*$B$19+$B$21))&lt;=0,"Pierde",$B$23/((Supuestos!$E$9+Supuestos!$E$8*$A35)*(1-Supuestos!$E$12*Supuestos!$E$13)*(1-Supuestos!$E$14)-(Supuestos!$E$24*$B$19+E$30*(Supuestos!$E$8*(Supuestos!$E$19*Supuestos!$E$25+Supuestos!$E$20*Supuestos!$E$26+Supuestos!$E$21*Supuestos!$E$27+Supuestos!$E$22*Supuestos!$E$28)/12*$B$19+$B$21))))</f>
        <v/>
      </c>
      <c r="F35" s="50">
        <f>IF((Supuestos!$E$9+Supuestos!$E$8*$A35)*(1-Supuestos!$E$12*Supuestos!$E$13)*(1-Supuestos!$E$14)-(Supuestos!$E$24*$B$19+F$30*(Supuestos!$E$8*(Supuestos!$E$19*Supuestos!$E$25+Supuestos!$E$20*Supuestos!$E$26+Supuestos!$E$21*Supuestos!$E$27+Supuestos!$E$22*Supuestos!$E$28)/12*$B$19+$B$21))&lt;=0,"Pierde",$B$23/((Supuestos!$E$9+Supuestos!$E$8*$A35)*(1-Supuestos!$E$12*Supuestos!$E$13)*(1-Supuestos!$E$14)-(Supuestos!$E$24*$B$19+F$30*(Supuestos!$E$8*(Supuestos!$E$19*Supuestos!$E$25+Supuestos!$E$20*Supuestos!$E$26+Supuestos!$E$21*Supuestos!$E$27+Supuestos!$E$22*Supuestos!$E$28)/12*$B$19+$B$21))))</f>
        <v/>
      </c>
    </row>
    <row r="36">
      <c r="A36" s="21" t="n">
        <v>25</v>
      </c>
      <c r="B36" s="50">
        <f>IF((Supuestos!$E$9+Supuestos!$E$8*$A36)*(1-Supuestos!$E$12*Supuestos!$E$13)*(1-Supuestos!$E$14)-(Supuestos!$E$24*$B$19+B$30*(Supuestos!$E$8*(Supuestos!$E$19*Supuestos!$E$25+Supuestos!$E$20*Supuestos!$E$26+Supuestos!$E$21*Supuestos!$E$27+Supuestos!$E$22*Supuestos!$E$28)/12*$B$19+$B$21))&lt;=0,"Pierde",$B$23/((Supuestos!$E$9+Supuestos!$E$8*$A36)*(1-Supuestos!$E$12*Supuestos!$E$13)*(1-Supuestos!$E$14)-(Supuestos!$E$24*$B$19+B$30*(Supuestos!$E$8*(Supuestos!$E$19*Supuestos!$E$25+Supuestos!$E$20*Supuestos!$E$26+Supuestos!$E$21*Supuestos!$E$27+Supuestos!$E$22*Supuestos!$E$28)/12*$B$19+$B$21))))</f>
        <v/>
      </c>
      <c r="C36" s="50">
        <f>IF((Supuestos!$E$9+Supuestos!$E$8*$A36)*(1-Supuestos!$E$12*Supuestos!$E$13)*(1-Supuestos!$E$14)-(Supuestos!$E$24*$B$19+C$30*(Supuestos!$E$8*(Supuestos!$E$19*Supuestos!$E$25+Supuestos!$E$20*Supuestos!$E$26+Supuestos!$E$21*Supuestos!$E$27+Supuestos!$E$22*Supuestos!$E$28)/12*$B$19+$B$21))&lt;=0,"Pierde",$B$23/((Supuestos!$E$9+Supuestos!$E$8*$A36)*(1-Supuestos!$E$12*Supuestos!$E$13)*(1-Supuestos!$E$14)-(Supuestos!$E$24*$B$19+C$30*(Supuestos!$E$8*(Supuestos!$E$19*Supuestos!$E$25+Supuestos!$E$20*Supuestos!$E$26+Supuestos!$E$21*Supuestos!$E$27+Supuestos!$E$22*Supuestos!$E$28)/12*$B$19+$B$21))))</f>
        <v/>
      </c>
      <c r="D36" s="50">
        <f>IF((Supuestos!$E$9+Supuestos!$E$8*$A36)*(1-Supuestos!$E$12*Supuestos!$E$13)*(1-Supuestos!$E$14)-(Supuestos!$E$24*$B$19+D$30*(Supuestos!$E$8*(Supuestos!$E$19*Supuestos!$E$25+Supuestos!$E$20*Supuestos!$E$26+Supuestos!$E$21*Supuestos!$E$27+Supuestos!$E$22*Supuestos!$E$28)/12*$B$19+$B$21))&lt;=0,"Pierde",$B$23/((Supuestos!$E$9+Supuestos!$E$8*$A36)*(1-Supuestos!$E$12*Supuestos!$E$13)*(1-Supuestos!$E$14)-(Supuestos!$E$24*$B$19+D$30*(Supuestos!$E$8*(Supuestos!$E$19*Supuestos!$E$25+Supuestos!$E$20*Supuestos!$E$26+Supuestos!$E$21*Supuestos!$E$27+Supuestos!$E$22*Supuestos!$E$28)/12*$B$19+$B$21))))</f>
        <v/>
      </c>
      <c r="E36" s="50">
        <f>IF((Supuestos!$E$9+Supuestos!$E$8*$A36)*(1-Supuestos!$E$12*Supuestos!$E$13)*(1-Supuestos!$E$14)-(Supuestos!$E$24*$B$19+E$30*(Supuestos!$E$8*(Supuestos!$E$19*Supuestos!$E$25+Supuestos!$E$20*Supuestos!$E$26+Supuestos!$E$21*Supuestos!$E$27+Supuestos!$E$22*Supuestos!$E$28)/12*$B$19+$B$21))&lt;=0,"Pierde",$B$23/((Supuestos!$E$9+Supuestos!$E$8*$A36)*(1-Supuestos!$E$12*Supuestos!$E$13)*(1-Supuestos!$E$14)-(Supuestos!$E$24*$B$19+E$30*(Supuestos!$E$8*(Supuestos!$E$19*Supuestos!$E$25+Supuestos!$E$20*Supuestos!$E$26+Supuestos!$E$21*Supuestos!$E$27+Supuestos!$E$22*Supuestos!$E$28)/12*$B$19+$B$21))))</f>
        <v/>
      </c>
      <c r="F36" s="50">
        <f>IF((Supuestos!$E$9+Supuestos!$E$8*$A36)*(1-Supuestos!$E$12*Supuestos!$E$13)*(1-Supuestos!$E$14)-(Supuestos!$E$24*$B$19+F$30*(Supuestos!$E$8*(Supuestos!$E$19*Supuestos!$E$25+Supuestos!$E$20*Supuestos!$E$26+Supuestos!$E$21*Supuestos!$E$27+Supuestos!$E$22*Supuestos!$E$28)/12*$B$19+$B$21))&lt;=0,"Pierde",$B$23/((Supuestos!$E$9+Supuestos!$E$8*$A36)*(1-Supuestos!$E$12*Supuestos!$E$13)*(1-Supuestos!$E$14)-(Supuestos!$E$24*$B$19+F$30*(Supuestos!$E$8*(Supuestos!$E$19*Supuestos!$E$25+Supuestos!$E$20*Supuestos!$E$26+Supuestos!$E$21*Supuestos!$E$27+Supuestos!$E$22*Supuestos!$E$28)/12*$B$19+$B$21))))</f>
        <v/>
      </c>
    </row>
    <row r="38" ht="30" customHeight="1">
      <c r="A38" s="23" t="inlineStr">
        <is>
          <t>Notas: (1) Fuente de todos los números: supuestos de trabajo, no datos de mercado verificados; reemplácelos con datos reales de las cooperativas (historial de siniestros y multas). (2) El modelo no incluye un evento catastrófico (bus con múltiples víctimas); ver informe. (3) Los cobros anuales adelantados mejoran la caja pero no se modelan como anticipo.</t>
        </is>
      </c>
    </row>
    <row r="39"/>
    <row r="40"/>
  </sheetData>
  <mergeCells count="1">
    <mergeCell ref="A38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80" customWidth="1" min="6" max="6"/>
  </cols>
  <sheetData>
    <row r="1">
      <c r="A1" s="1" t="inlineStr">
        <is>
          <t>Plan de Asistencia Legal a Cooperativas de Transporte — Jurix Global</t>
        </is>
      </c>
    </row>
    <row r="2">
      <c r="A2" s="2" t="inlineStr">
        <is>
          <t>Leyenda: texto AZUL = dato editable · fondo AMARILLO = supuesto clave a validar · NEGRO = fórmula. Montos en USD.</t>
        </is>
      </c>
    </row>
    <row r="4">
      <c r="A4" s="5" t="inlineStr">
        <is>
          <t>Escenario activo (1 = Pesimista, 2 = Base, 3 = Optimista)</t>
        </is>
      </c>
      <c r="B4" s="24" t="n">
        <v>2</v>
      </c>
    </row>
    <row r="6">
      <c r="A6" s="3" t="inlineStr">
        <is>
          <t>Supuesto</t>
        </is>
      </c>
      <c r="B6" s="3" t="inlineStr">
        <is>
          <t>Pesimista</t>
        </is>
      </c>
      <c r="C6" s="3" t="inlineStr">
        <is>
          <t>Base</t>
        </is>
      </c>
      <c r="D6" s="3" t="inlineStr">
        <is>
          <t>Optimista</t>
        </is>
      </c>
      <c r="E6" s="3" t="inlineStr">
        <is>
          <t>ACTIVO</t>
        </is>
      </c>
      <c r="F6" s="3" t="inlineStr">
        <is>
          <t>Unidad / nota</t>
        </is>
      </c>
    </row>
    <row r="7">
      <c r="A7" s="25" t="inlineStr">
        <is>
          <t>Comercial y precio</t>
        </is>
      </c>
      <c r="B7" s="26" t="n"/>
      <c r="C7" s="26" t="n"/>
      <c r="D7" s="26" t="n"/>
      <c r="E7" s="26" t="n"/>
      <c r="F7" s="26" t="n"/>
    </row>
    <row r="8">
      <c r="A8" s="8" t="inlineStr">
        <is>
          <t>Buses (socios) por cooperativa</t>
        </is>
      </c>
      <c r="B8" s="51" t="n">
        <v>40</v>
      </c>
      <c r="C8" s="51" t="n">
        <v>40</v>
      </c>
      <c r="D8" s="51" t="n">
        <v>40</v>
      </c>
      <c r="E8" s="47">
        <f>INDEX(B8:D8,1,$B$4)</f>
        <v/>
      </c>
      <c r="F8" s="7" t="inlineStr">
        <is>
          <t>unidades; promedio de cooperativa urbana/intracantonal [SUPUESTO]</t>
        </is>
      </c>
    </row>
    <row r="9">
      <c r="A9" s="8" t="inlineStr">
        <is>
          <t>Cuota base por cooperativa (asesoría societaria permanente)</t>
        </is>
      </c>
      <c r="B9" s="28" t="n">
        <v>300</v>
      </c>
      <c r="C9" s="28" t="n">
        <v>300</v>
      </c>
      <c r="D9" s="28" t="n">
        <v>300</v>
      </c>
      <c r="E9" s="11">
        <f>INDEX(B9:D9,1,$B$4)</f>
        <v/>
      </c>
      <c r="F9" s="7" t="inlineStr">
        <is>
          <t>USD/mes por cooperativa</t>
        </is>
      </c>
    </row>
    <row r="10">
      <c r="A10" s="8" t="inlineStr">
        <is>
          <t>Cuota por bus (asistencia en multas y siniestros)</t>
        </is>
      </c>
      <c r="B10" s="52" t="n">
        <v>15</v>
      </c>
      <c r="C10" s="52" t="n">
        <v>15</v>
      </c>
      <c r="D10" s="52" t="n">
        <v>15</v>
      </c>
      <c r="E10" s="53">
        <f>INDEX(B10:D10,1,$B$4)</f>
        <v/>
      </c>
      <c r="F10" s="7" t="inlineStr">
        <is>
          <t>USD/mes por bus</t>
        </is>
      </c>
    </row>
    <row r="11">
      <c r="A11" s="8" t="inlineStr">
        <is>
          <t>Reajuste anual de precio</t>
        </is>
      </c>
      <c r="B11" s="54" t="n">
        <v>0</v>
      </c>
      <c r="C11" s="54" t="n">
        <v>0.03</v>
      </c>
      <c r="D11" s="54" t="n">
        <v>0.05</v>
      </c>
      <c r="E11" s="41">
        <f>INDEX(B11:D11,1,$B$4)</f>
        <v/>
      </c>
      <c r="F11" s="7" t="inlineStr">
        <is>
          <t>aplicado desde el mes 13 y 25</t>
        </is>
      </c>
    </row>
    <row r="12">
      <c r="A12" s="8" t="inlineStr">
        <is>
          <t>% de cooperativas que pagan anual por adelantado</t>
        </is>
      </c>
      <c r="B12" s="54" t="n">
        <v>0.2</v>
      </c>
      <c r="C12" s="54" t="n">
        <v>0.3</v>
      </c>
      <c r="D12" s="54" t="n">
        <v>0.4</v>
      </c>
      <c r="E12" s="41">
        <f>INDEX(B12:D12,1,$B$4)</f>
        <v/>
      </c>
      <c r="F12" s="7" t="inlineStr"/>
    </row>
    <row r="13">
      <c r="A13" s="8" t="inlineStr">
        <is>
          <t>Descuento por pago anual</t>
        </is>
      </c>
      <c r="B13" s="54" t="n">
        <v>0.1</v>
      </c>
      <c r="C13" s="54" t="n">
        <v>0.1</v>
      </c>
      <c r="D13" s="54" t="n">
        <v>0.1</v>
      </c>
      <c r="E13" s="41">
        <f>INDEX(B13:D13,1,$B$4)</f>
        <v/>
      </c>
      <c r="F13" s="7" t="inlineStr">
        <is>
          <t>sobre la tarifa</t>
        </is>
      </c>
    </row>
    <row r="14">
      <c r="A14" s="8" t="inlineStr">
        <is>
          <t>Morosidad / incobrables</t>
        </is>
      </c>
      <c r="B14" s="55" t="n">
        <v>0.15</v>
      </c>
      <c r="C14" s="55" t="n">
        <v>0.08</v>
      </c>
      <c r="D14" s="55" t="n">
        <v>0.05</v>
      </c>
      <c r="E14" s="41">
        <f>INDEX(B14:D14,1,$B$4)</f>
        <v/>
      </c>
      <c r="F14" s="7" t="inlineStr">
        <is>
          <t>% de lo facturado que no se cobra</t>
        </is>
      </c>
    </row>
    <row r="15">
      <c r="A15" s="8" t="inlineStr">
        <is>
          <t>Cooperativas nuevas por mes</t>
        </is>
      </c>
      <c r="B15" s="56" t="n">
        <v>0.25</v>
      </c>
      <c r="C15" s="56" t="n">
        <v>0.5</v>
      </c>
      <c r="D15" s="56" t="n">
        <v>0.75</v>
      </c>
      <c r="E15" s="46">
        <f>INDEX(B15:D15,1,$B$4)</f>
        <v/>
      </c>
      <c r="F15" s="7" t="inlineStr">
        <is>
          <t>0.5 = una cada 2 meses (ciclo de venta largo: aprobación en asamblea)</t>
        </is>
      </c>
    </row>
    <row r="16">
      <c r="A16" s="8" t="inlineStr">
        <is>
          <t>Pérdida anual de cooperativas (churn)</t>
        </is>
      </c>
      <c r="B16" s="55" t="n">
        <v>0.25</v>
      </c>
      <c r="C16" s="55" t="n">
        <v>0.15</v>
      </c>
      <c r="D16" s="55" t="n">
        <v>0.1</v>
      </c>
      <c r="E16" s="41">
        <f>INDEX(B16:D16,1,$B$4)</f>
        <v/>
      </c>
      <c r="F16" s="7" t="inlineStr">
        <is>
          <t>cambios de gerente/consejo, competencia</t>
        </is>
      </c>
    </row>
    <row r="17">
      <c r="A17" s="8" t="inlineStr">
        <is>
          <t>Máximo de cooperativas atendibles (mercado/zona)</t>
        </is>
      </c>
      <c r="B17" s="57" t="n">
        <v>12</v>
      </c>
      <c r="C17" s="57" t="n">
        <v>15</v>
      </c>
      <c r="D17" s="57" t="n">
        <v>20</v>
      </c>
      <c r="E17" s="47">
        <f>INDEX(B17:D17,1,$B$4)</f>
        <v/>
      </c>
      <c r="F17" s="7" t="inlineStr">
        <is>
          <t>techo comercial</t>
        </is>
      </c>
    </row>
    <row r="18">
      <c r="A18" s="25" t="inlineStr">
        <is>
          <t>Siniestralidad (por bus por año)</t>
        </is>
      </c>
      <c r="B18" s="26" t="n"/>
      <c r="C18" s="26" t="n"/>
      <c r="D18" s="26" t="n"/>
      <c r="E18" s="26" t="n"/>
      <c r="F18" s="26" t="n"/>
    </row>
    <row r="19">
      <c r="A19" s="8" t="inlineStr">
        <is>
          <t>Siniestros solo con daños materiales</t>
        </is>
      </c>
      <c r="B19" s="56" t="n">
        <v>0.3</v>
      </c>
      <c r="C19" s="56" t="n">
        <v>0.2</v>
      </c>
      <c r="D19" s="56" t="n">
        <v>0.15</v>
      </c>
      <c r="E19" s="46">
        <f>INDEX(B19:D19,1,$B$4)</f>
        <v/>
      </c>
      <c r="F19" s="7" t="inlineStr">
        <is>
          <t>eventos/bus/año [SUPUESTO — reemplazar con datos reales de la cooperativa]</t>
        </is>
      </c>
    </row>
    <row r="20">
      <c r="A20" s="8" t="inlineStr">
        <is>
          <t>Siniestros con lesionados</t>
        </is>
      </c>
      <c r="B20" s="56" t="n">
        <v>0.08</v>
      </c>
      <c r="C20" s="56" t="n">
        <v>0.06</v>
      </c>
      <c r="D20" s="56" t="n">
        <v>0.04</v>
      </c>
      <c r="E20" s="46">
        <f>INDEX(B20:D20,1,$B$4)</f>
        <v/>
      </c>
      <c r="F20" s="7" t="inlineStr">
        <is>
          <t>eventos/bus/año [SUPUESTO]</t>
        </is>
      </c>
    </row>
    <row r="21">
      <c r="A21" s="8" t="inlineStr">
        <is>
          <t>Siniestros con fallecidos</t>
        </is>
      </c>
      <c r="B21" s="58" t="n">
        <v>0.015</v>
      </c>
      <c r="C21" s="58" t="n">
        <v>0.01</v>
      </c>
      <c r="D21" s="58" t="n">
        <v>0.007</v>
      </c>
      <c r="E21" s="59">
        <f>INDEX(B21:D21,1,$B$4)</f>
        <v/>
      </c>
      <c r="F21" s="7" t="inlineStr">
        <is>
          <t>eventos/bus/año [SUPUESTO]</t>
        </is>
      </c>
    </row>
    <row r="22">
      <c r="A22" s="8" t="inlineStr">
        <is>
          <t>Multas/citaciones que requieren gestión o impugnación</t>
        </is>
      </c>
      <c r="B22" s="60" t="n">
        <v>2</v>
      </c>
      <c r="C22" s="60" t="n">
        <v>1.5</v>
      </c>
      <c r="D22" s="60" t="n">
        <v>1</v>
      </c>
      <c r="E22" s="46">
        <f>INDEX(B22:D22,1,$B$4)</f>
        <v/>
      </c>
      <c r="F22" s="7" t="inlineStr">
        <is>
          <t>eventos/bus/año</t>
        </is>
      </c>
    </row>
    <row r="23">
      <c r="A23" s="25" t="inlineStr">
        <is>
          <t>Horas de abogado por evento</t>
        </is>
      </c>
      <c r="B23" s="26" t="n"/>
      <c r="C23" s="26" t="n"/>
      <c r="D23" s="26" t="n"/>
      <c r="E23" s="26" t="n"/>
      <c r="F23" s="26" t="n"/>
    </row>
    <row r="24">
      <c r="A24" s="8" t="inlineStr">
        <is>
          <t>Asesoría societaria/LOEPS por cooperativa</t>
        </is>
      </c>
      <c r="B24" s="60" t="n">
        <v>12</v>
      </c>
      <c r="C24" s="60" t="n">
        <v>10</v>
      </c>
      <c r="D24" s="60" t="n">
        <v>8</v>
      </c>
      <c r="E24" s="46">
        <f>INDEX(B24:D24,1,$B$4)</f>
        <v/>
      </c>
      <c r="F24" s="7" t="inlineStr">
        <is>
          <t>horas/mes por cooperativa (asambleas, estatutos, SEPS, ANT)</t>
        </is>
      </c>
    </row>
    <row r="25">
      <c r="A25" s="8" t="inlineStr">
        <is>
          <t>Siniestro con daños materiales</t>
        </is>
      </c>
      <c r="B25" s="60" t="n">
        <v>10</v>
      </c>
      <c r="C25" s="60" t="n">
        <v>8</v>
      </c>
      <c r="D25" s="60" t="n">
        <v>6</v>
      </c>
      <c r="E25" s="46">
        <f>INDEX(B25:D25,1,$B$4)</f>
        <v/>
      </c>
      <c r="F25" s="7" t="inlineStr">
        <is>
          <t>horas (flagrancia, acuerdo, devolución del bus)</t>
        </is>
      </c>
    </row>
    <row r="26">
      <c r="A26" s="8" t="inlineStr">
        <is>
          <t>Siniestro con lesionados</t>
        </is>
      </c>
      <c r="B26" s="60" t="n">
        <v>35</v>
      </c>
      <c r="C26" s="60" t="n">
        <v>25</v>
      </c>
      <c r="D26" s="60" t="n">
        <v>20</v>
      </c>
      <c r="E26" s="46">
        <f>INDEX(B26:D26,1,$B$4)</f>
        <v/>
      </c>
      <c r="F26" s="7" t="inlineStr">
        <is>
          <t>horas</t>
        </is>
      </c>
    </row>
    <row r="27">
      <c r="A27" s="8" t="inlineStr">
        <is>
          <t>Siniestro con fallecidos</t>
        </is>
      </c>
      <c r="B27" s="56" t="n">
        <v>120</v>
      </c>
      <c r="C27" s="56" t="n">
        <v>80</v>
      </c>
      <c r="D27" s="56" t="n">
        <v>60</v>
      </c>
      <c r="E27" s="46">
        <f>INDEX(B27:D27,1,$B$4)</f>
        <v/>
      </c>
      <c r="F27" s="7" t="inlineStr">
        <is>
          <t>horas (todo el proceso; puede ser mucho más)</t>
        </is>
      </c>
    </row>
    <row r="28">
      <c r="A28" s="8" t="inlineStr">
        <is>
          <t>Multa / citación</t>
        </is>
      </c>
      <c r="B28" s="60" t="n">
        <v>1.5</v>
      </c>
      <c r="C28" s="60" t="n">
        <v>1.5</v>
      </c>
      <c r="D28" s="60" t="n">
        <v>1</v>
      </c>
      <c r="E28" s="46">
        <f>INDEX(B28:D28,1,$B$4)</f>
        <v/>
      </c>
      <c r="F28" s="7" t="inlineStr">
        <is>
          <t>horas</t>
        </is>
      </c>
    </row>
    <row r="29">
      <c r="A29" s="25" t="inlineStr">
        <is>
          <t>Gastos directos por evento (movilización, copias, notaría, trámites)</t>
        </is>
      </c>
      <c r="B29" s="26" t="n"/>
      <c r="C29" s="26" t="n"/>
      <c r="D29" s="26" t="n"/>
      <c r="E29" s="26" t="n"/>
      <c r="F29" s="26" t="n"/>
    </row>
    <row r="30">
      <c r="A30" s="8" t="inlineStr">
        <is>
          <t>Siniestro con daños materiales</t>
        </is>
      </c>
      <c r="B30" s="38" t="n">
        <v>40</v>
      </c>
      <c r="C30" s="38" t="n">
        <v>30</v>
      </c>
      <c r="D30" s="38" t="n">
        <v>25</v>
      </c>
      <c r="E30" s="11">
        <f>INDEX(B30:D30,1,$B$4)</f>
        <v/>
      </c>
      <c r="F30" s="7" t="inlineStr">
        <is>
          <t>USD/evento</t>
        </is>
      </c>
    </row>
    <row r="31">
      <c r="A31" s="8" t="inlineStr">
        <is>
          <t>Siniestro con lesionados</t>
        </is>
      </c>
      <c r="B31" s="38" t="n">
        <v>100</v>
      </c>
      <c r="C31" s="38" t="n">
        <v>80</v>
      </c>
      <c r="D31" s="38" t="n">
        <v>60</v>
      </c>
      <c r="E31" s="11">
        <f>INDEX(B31:D31,1,$B$4)</f>
        <v/>
      </c>
      <c r="F31" s="7" t="inlineStr">
        <is>
          <t>USD/evento</t>
        </is>
      </c>
    </row>
    <row r="32">
      <c r="A32" s="8" t="inlineStr">
        <is>
          <t>Siniestro con fallecidos</t>
        </is>
      </c>
      <c r="B32" s="38" t="n">
        <v>300</v>
      </c>
      <c r="C32" s="38" t="n">
        <v>250</v>
      </c>
      <c r="D32" s="38" t="n">
        <v>200</v>
      </c>
      <c r="E32" s="11">
        <f>INDEX(B32:D32,1,$B$4)</f>
        <v/>
      </c>
      <c r="F32" s="7" t="inlineStr">
        <is>
          <t>USD/evento (peritajes privados NO incluidos: los paga el cliente)</t>
        </is>
      </c>
    </row>
    <row r="33">
      <c r="A33" s="25" t="inlineStr">
        <is>
          <t>Equipo y costos fijos mensuales</t>
        </is>
      </c>
      <c r="B33" s="26" t="n"/>
      <c r="C33" s="26" t="n"/>
      <c r="D33" s="26" t="n"/>
      <c r="E33" s="26" t="n"/>
      <c r="F33" s="26" t="n"/>
    </row>
    <row r="34">
      <c r="A34" s="8" t="inlineStr">
        <is>
          <t>Costo empresa por abogado dedicado</t>
        </is>
      </c>
      <c r="B34" s="28" t="n">
        <v>1450</v>
      </c>
      <c r="C34" s="28" t="n">
        <v>1400</v>
      </c>
      <c r="D34" s="28" t="n">
        <v>1350</v>
      </c>
      <c r="E34" s="11">
        <f>INDEX(B34:D34,1,$B$4)</f>
        <v/>
      </c>
      <c r="F34" s="7" t="inlineStr">
        <is>
          <t>USD/mes: sueldo ~1.050 + aportes IESS, décimos, fondos de reserva y vacaciones [SUPUESTO]</t>
        </is>
      </c>
    </row>
    <row r="35">
      <c r="A35" s="8" t="inlineStr">
        <is>
          <t>Horas productivas por abogado</t>
        </is>
      </c>
      <c r="B35" s="57" t="n">
        <v>120</v>
      </c>
      <c r="C35" s="57" t="n">
        <v>130</v>
      </c>
      <c r="D35" s="57" t="n">
        <v>140</v>
      </c>
      <c r="E35" s="47">
        <f>INDEX(B35:D35,1,$B$4)</f>
        <v/>
      </c>
      <c r="F35" s="7" t="inlineStr">
        <is>
          <t>horas/mes</t>
        </is>
      </c>
    </row>
    <row r="36">
      <c r="A36" s="8" t="inlineStr">
        <is>
          <t>Abogados dedicados mínimos</t>
        </is>
      </c>
      <c r="B36" s="57" t="n">
        <v>1</v>
      </c>
      <c r="C36" s="57" t="n">
        <v>1</v>
      </c>
      <c r="D36" s="57" t="n">
        <v>1</v>
      </c>
      <c r="E36" s="47">
        <f>INDEX(B36:D36,1,$B$4)</f>
        <v/>
      </c>
      <c r="F36" s="7" t="inlineStr">
        <is>
          <t>por cobertura 24/7 se recomienda 2 desde ~6 cooperativas</t>
        </is>
      </c>
    </row>
    <row r="37">
      <c r="A37" s="8" t="inlineStr">
        <is>
          <t>Tiempo del socio (costo de oportunidad)</t>
        </is>
      </c>
      <c r="B37" s="28" t="n">
        <v>800</v>
      </c>
      <c r="C37" s="28" t="n">
        <v>800</v>
      </c>
      <c r="D37" s="28" t="n">
        <v>800</v>
      </c>
      <c r="E37" s="11">
        <f>INDEX(B37:D37,1,$B$4)</f>
        <v/>
      </c>
      <c r="F37" s="7" t="inlineStr">
        <is>
          <t>USD/mes: su tiempo NO es gratis</t>
        </is>
      </c>
    </row>
    <row r="38">
      <c r="A38" s="8" t="inlineStr">
        <is>
          <t>Asistente administrativa (medio tiempo)</t>
        </is>
      </c>
      <c r="B38" s="38" t="n">
        <v>450</v>
      </c>
      <c r="C38" s="38" t="n">
        <v>450</v>
      </c>
      <c r="D38" s="38" t="n">
        <v>450</v>
      </c>
      <c r="E38" s="11">
        <f>INDEX(B38:D38,1,$B$4)</f>
        <v/>
      </c>
      <c r="F38" s="7" t="inlineStr">
        <is>
          <t>USD/mes</t>
        </is>
      </c>
    </row>
    <row r="39">
      <c r="A39" s="8" t="inlineStr">
        <is>
          <t>Bono de guardia 24/7 (noches y fines de semana)</t>
        </is>
      </c>
      <c r="B39" s="38" t="n">
        <v>300</v>
      </c>
      <c r="C39" s="38" t="n">
        <v>250</v>
      </c>
      <c r="D39" s="38" t="n">
        <v>250</v>
      </c>
      <c r="E39" s="11">
        <f>INDEX(B39:D39,1,$B$4)</f>
        <v/>
      </c>
      <c r="F39" s="7" t="inlineStr">
        <is>
          <t>USD/mes</t>
        </is>
      </c>
    </row>
    <row r="40">
      <c r="A40" s="8" t="inlineStr">
        <is>
          <t>Oficina (proporción)</t>
        </is>
      </c>
      <c r="B40" s="38" t="n">
        <v>250</v>
      </c>
      <c r="C40" s="38" t="n">
        <v>250</v>
      </c>
      <c r="D40" s="38" t="n">
        <v>250</v>
      </c>
      <c r="E40" s="11">
        <f>INDEX(B40:D40,1,$B$4)</f>
        <v/>
      </c>
      <c r="F40" s="7" t="inlineStr">
        <is>
          <t>USD/mes</t>
        </is>
      </c>
    </row>
    <row r="41">
      <c r="A41" s="8" t="inlineStr">
        <is>
          <t>Software, telefonía e internet</t>
        </is>
      </c>
      <c r="B41" s="38" t="n">
        <v>100</v>
      </c>
      <c r="C41" s="38" t="n">
        <v>100</v>
      </c>
      <c r="D41" s="38" t="n">
        <v>100</v>
      </c>
      <c r="E41" s="11">
        <f>INDEX(B41:D41,1,$B$4)</f>
        <v/>
      </c>
      <c r="F41" s="7" t="inlineStr">
        <is>
          <t>USD/mes</t>
        </is>
      </c>
    </row>
    <row r="42">
      <c r="A42" s="8" t="inlineStr">
        <is>
          <t>Movilización fija</t>
        </is>
      </c>
      <c r="B42" s="38" t="n">
        <v>150</v>
      </c>
      <c r="C42" s="38" t="n">
        <v>150</v>
      </c>
      <c r="D42" s="38" t="n">
        <v>150</v>
      </c>
      <c r="E42" s="11">
        <f>INDEX(B42:D42,1,$B$4)</f>
        <v/>
      </c>
      <c r="F42" s="7" t="inlineStr">
        <is>
          <t>USD/mes</t>
        </is>
      </c>
    </row>
    <row r="43">
      <c r="A43" s="8" t="inlineStr">
        <is>
          <t>Marketing y relaciones con las cooperativas</t>
        </is>
      </c>
      <c r="B43" s="38" t="n">
        <v>400</v>
      </c>
      <c r="C43" s="38" t="n">
        <v>400</v>
      </c>
      <c r="D43" s="38" t="n">
        <v>400</v>
      </c>
      <c r="E43" s="11">
        <f>INDEX(B43:D43,1,$B$4)</f>
        <v/>
      </c>
      <c r="F43" s="7" t="inlineStr">
        <is>
          <t>USD/mes</t>
        </is>
      </c>
    </row>
    <row r="44">
      <c r="A44" s="8" t="inlineStr">
        <is>
          <t>Contabilidad y otros</t>
        </is>
      </c>
      <c r="B44" s="38" t="n">
        <v>100</v>
      </c>
      <c r="C44" s="38" t="n">
        <v>100</v>
      </c>
      <c r="D44" s="38" t="n">
        <v>100</v>
      </c>
      <c r="E44" s="11">
        <f>INDEX(B44:D44,1,$B$4)</f>
        <v/>
      </c>
      <c r="F44" s="7" t="inlineStr">
        <is>
          <t>USD/mes</t>
        </is>
      </c>
    </row>
    <row r="45">
      <c r="A45" s="25" t="inlineStr">
        <is>
          <t>Inversión, impuestos y tasa de descuento</t>
        </is>
      </c>
      <c r="B45" s="26" t="n"/>
      <c r="C45" s="26" t="n"/>
      <c r="D45" s="26" t="n"/>
      <c r="E45" s="26" t="n"/>
      <c r="F45" s="26" t="n"/>
    </row>
    <row r="46">
      <c r="A46" s="8" t="inlineStr">
        <is>
          <t>Inversión inicial</t>
        </is>
      </c>
      <c r="B46" s="28" t="n">
        <v>8000</v>
      </c>
      <c r="C46" s="28" t="n">
        <v>8000</v>
      </c>
      <c r="D46" s="28" t="n">
        <v>8000</v>
      </c>
      <c r="E46" s="11">
        <f>INDEX(B46:D46,1,$B$4)</f>
        <v/>
      </c>
      <c r="F46" s="7" t="inlineStr">
        <is>
          <t>contratos y protocolos, web, equipos, lanzamiento [SUPUESTO]</t>
        </is>
      </c>
    </row>
    <row r="47">
      <c r="A47" s="8" t="inlineStr">
        <is>
          <t>Tasa efectiva: 15% participación trabajadores + 25% IR</t>
        </is>
      </c>
      <c r="B47" s="54" t="n">
        <v>0.3625</v>
      </c>
      <c r="C47" s="54" t="n">
        <v>0.3625</v>
      </c>
      <c r="D47" s="54" t="n">
        <v>0.3625</v>
      </c>
      <c r="E47" s="41">
        <f>INDEX(B47:D47,1,$B$4)</f>
        <v/>
      </c>
      <c r="F47" s="7" t="inlineStr">
        <is>
          <t>si factura una sociedad; persona natural es distinto</t>
        </is>
      </c>
    </row>
    <row r="48">
      <c r="A48" s="8" t="inlineStr">
        <is>
          <t>Tasa de descuento anual (costo de oportunidad)</t>
        </is>
      </c>
      <c r="B48" s="54" t="n">
        <v>0.15</v>
      </c>
      <c r="C48" s="54" t="n">
        <v>0.15</v>
      </c>
      <c r="D48" s="54" t="n">
        <v>0.15</v>
      </c>
      <c r="E48" s="41">
        <f>INDEX(B48:D48,1,$B$4)</f>
        <v/>
      </c>
      <c r="F48" s="7" t="inlineStr">
        <is>
          <t>para el 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Flujo de caja mensual (escenario activo)</t>
        </is>
      </c>
    </row>
    <row r="2">
      <c r="A2" s="5" t="inlineStr">
        <is>
          <t>Mes →</t>
        </is>
      </c>
    </row>
    <row r="3">
      <c r="A3" s="3" t="inlineStr">
        <is>
          <t>Concepto</t>
        </is>
      </c>
      <c r="B3" s="39" t="n">
        <v>0</v>
      </c>
      <c r="C3" s="39" t="n">
        <v>1</v>
      </c>
      <c r="D3" s="39" t="n">
        <v>2</v>
      </c>
      <c r="E3" s="39" t="n">
        <v>3</v>
      </c>
      <c r="F3" s="39" t="n">
        <v>4</v>
      </c>
      <c r="G3" s="39" t="n">
        <v>5</v>
      </c>
      <c r="H3" s="39" t="n">
        <v>6</v>
      </c>
      <c r="I3" s="39" t="n">
        <v>7</v>
      </c>
      <c r="J3" s="39" t="n">
        <v>8</v>
      </c>
      <c r="K3" s="39" t="n">
        <v>9</v>
      </c>
      <c r="L3" s="39" t="n">
        <v>10</v>
      </c>
      <c r="M3" s="39" t="n">
        <v>11</v>
      </c>
      <c r="N3" s="39" t="n">
        <v>12</v>
      </c>
      <c r="O3" s="39" t="n">
        <v>13</v>
      </c>
      <c r="P3" s="39" t="n">
        <v>14</v>
      </c>
      <c r="Q3" s="39" t="n">
        <v>15</v>
      </c>
      <c r="R3" s="39" t="n">
        <v>16</v>
      </c>
      <c r="S3" s="39" t="n">
        <v>17</v>
      </c>
      <c r="T3" s="39" t="n">
        <v>18</v>
      </c>
      <c r="U3" s="39" t="n">
        <v>19</v>
      </c>
      <c r="V3" s="39" t="n">
        <v>20</v>
      </c>
      <c r="W3" s="39" t="n">
        <v>21</v>
      </c>
      <c r="X3" s="39" t="n">
        <v>22</v>
      </c>
      <c r="Y3" s="39" t="n">
        <v>23</v>
      </c>
      <c r="Z3" s="39" t="n">
        <v>24</v>
      </c>
      <c r="AA3" s="39" t="n">
        <v>25</v>
      </c>
      <c r="AB3" s="39" t="n">
        <v>26</v>
      </c>
      <c r="AC3" s="39" t="n">
        <v>27</v>
      </c>
      <c r="AD3" s="39" t="n">
        <v>28</v>
      </c>
      <c r="AE3" s="39" t="n">
        <v>29</v>
      </c>
      <c r="AF3" s="39" t="n">
        <v>30</v>
      </c>
      <c r="AG3" s="39" t="n">
        <v>31</v>
      </c>
      <c r="AH3" s="39" t="n">
        <v>32</v>
      </c>
      <c r="AI3" s="39" t="n">
        <v>33</v>
      </c>
      <c r="AJ3" s="39" t="n">
        <v>34</v>
      </c>
      <c r="AK3" s="39" t="n">
        <v>35</v>
      </c>
      <c r="AL3" s="39" t="n">
        <v>36</v>
      </c>
    </row>
    <row r="4">
      <c r="A4" s="8" t="inlineStr">
        <is>
          <t>Cooperativas activas</t>
        </is>
      </c>
      <c r="B4" s="43" t="n">
        <v>0</v>
      </c>
      <c r="C4" s="43">
        <f>MIN(Supuestos!$E$17,B4*(1-Supuestos!$E$16/12)+Supuestos!$E$15)</f>
        <v/>
      </c>
      <c r="D4" s="43">
        <f>MIN(Supuestos!$E$17,C4*(1-Supuestos!$E$16/12)+Supuestos!$E$15)</f>
        <v/>
      </c>
      <c r="E4" s="43">
        <f>MIN(Supuestos!$E$17,D4*(1-Supuestos!$E$16/12)+Supuestos!$E$15)</f>
        <v/>
      </c>
      <c r="F4" s="43">
        <f>MIN(Supuestos!$E$17,E4*(1-Supuestos!$E$16/12)+Supuestos!$E$15)</f>
        <v/>
      </c>
      <c r="G4" s="43">
        <f>MIN(Supuestos!$E$17,F4*(1-Supuestos!$E$16/12)+Supuestos!$E$15)</f>
        <v/>
      </c>
      <c r="H4" s="43">
        <f>MIN(Supuestos!$E$17,G4*(1-Supuestos!$E$16/12)+Supuestos!$E$15)</f>
        <v/>
      </c>
      <c r="I4" s="43">
        <f>MIN(Supuestos!$E$17,H4*(1-Supuestos!$E$16/12)+Supuestos!$E$15)</f>
        <v/>
      </c>
      <c r="J4" s="43">
        <f>MIN(Supuestos!$E$17,I4*(1-Supuestos!$E$16/12)+Supuestos!$E$15)</f>
        <v/>
      </c>
      <c r="K4" s="43">
        <f>MIN(Supuestos!$E$17,J4*(1-Supuestos!$E$16/12)+Supuestos!$E$15)</f>
        <v/>
      </c>
      <c r="L4" s="43">
        <f>MIN(Supuestos!$E$17,K4*(1-Supuestos!$E$16/12)+Supuestos!$E$15)</f>
        <v/>
      </c>
      <c r="M4" s="43">
        <f>MIN(Supuestos!$E$17,L4*(1-Supuestos!$E$16/12)+Supuestos!$E$15)</f>
        <v/>
      </c>
      <c r="N4" s="43">
        <f>MIN(Supuestos!$E$17,M4*(1-Supuestos!$E$16/12)+Supuestos!$E$15)</f>
        <v/>
      </c>
      <c r="O4" s="43">
        <f>MIN(Supuestos!$E$17,N4*(1-Supuestos!$E$16/12)+Supuestos!$E$15)</f>
        <v/>
      </c>
      <c r="P4" s="43">
        <f>MIN(Supuestos!$E$17,O4*(1-Supuestos!$E$16/12)+Supuestos!$E$15)</f>
        <v/>
      </c>
      <c r="Q4" s="43">
        <f>MIN(Supuestos!$E$17,P4*(1-Supuestos!$E$16/12)+Supuestos!$E$15)</f>
        <v/>
      </c>
      <c r="R4" s="43">
        <f>MIN(Supuestos!$E$17,Q4*(1-Supuestos!$E$16/12)+Supuestos!$E$15)</f>
        <v/>
      </c>
      <c r="S4" s="43">
        <f>MIN(Supuestos!$E$17,R4*(1-Supuestos!$E$16/12)+Supuestos!$E$15)</f>
        <v/>
      </c>
      <c r="T4" s="43">
        <f>MIN(Supuestos!$E$17,S4*(1-Supuestos!$E$16/12)+Supuestos!$E$15)</f>
        <v/>
      </c>
      <c r="U4" s="43">
        <f>MIN(Supuestos!$E$17,T4*(1-Supuestos!$E$16/12)+Supuestos!$E$15)</f>
        <v/>
      </c>
      <c r="V4" s="43">
        <f>MIN(Supuestos!$E$17,U4*(1-Supuestos!$E$16/12)+Supuestos!$E$15)</f>
        <v/>
      </c>
      <c r="W4" s="43">
        <f>MIN(Supuestos!$E$17,V4*(1-Supuestos!$E$16/12)+Supuestos!$E$15)</f>
        <v/>
      </c>
      <c r="X4" s="43">
        <f>MIN(Supuestos!$E$17,W4*(1-Supuestos!$E$16/12)+Supuestos!$E$15)</f>
        <v/>
      </c>
      <c r="Y4" s="43">
        <f>MIN(Supuestos!$E$17,X4*(1-Supuestos!$E$16/12)+Supuestos!$E$15)</f>
        <v/>
      </c>
      <c r="Z4" s="43">
        <f>MIN(Supuestos!$E$17,Y4*(1-Supuestos!$E$16/12)+Supuestos!$E$15)</f>
        <v/>
      </c>
      <c r="AA4" s="43">
        <f>MIN(Supuestos!$E$17,Z4*(1-Supuestos!$E$16/12)+Supuestos!$E$15)</f>
        <v/>
      </c>
      <c r="AB4" s="43">
        <f>MIN(Supuestos!$E$17,AA4*(1-Supuestos!$E$16/12)+Supuestos!$E$15)</f>
        <v/>
      </c>
      <c r="AC4" s="43">
        <f>MIN(Supuestos!$E$17,AB4*(1-Supuestos!$E$16/12)+Supuestos!$E$15)</f>
        <v/>
      </c>
      <c r="AD4" s="43">
        <f>MIN(Supuestos!$E$17,AC4*(1-Supuestos!$E$16/12)+Supuestos!$E$15)</f>
        <v/>
      </c>
      <c r="AE4" s="43">
        <f>MIN(Supuestos!$E$17,AD4*(1-Supuestos!$E$16/12)+Supuestos!$E$15)</f>
        <v/>
      </c>
      <c r="AF4" s="43">
        <f>MIN(Supuestos!$E$17,AE4*(1-Supuestos!$E$16/12)+Supuestos!$E$15)</f>
        <v/>
      </c>
      <c r="AG4" s="43">
        <f>MIN(Supuestos!$E$17,AF4*(1-Supuestos!$E$16/12)+Supuestos!$E$15)</f>
        <v/>
      </c>
      <c r="AH4" s="43">
        <f>MIN(Supuestos!$E$17,AG4*(1-Supuestos!$E$16/12)+Supuestos!$E$15)</f>
        <v/>
      </c>
      <c r="AI4" s="43">
        <f>MIN(Supuestos!$E$17,AH4*(1-Supuestos!$E$16/12)+Supuestos!$E$15)</f>
        <v/>
      </c>
      <c r="AJ4" s="43">
        <f>MIN(Supuestos!$E$17,AI4*(1-Supuestos!$E$16/12)+Supuestos!$E$15)</f>
        <v/>
      </c>
      <c r="AK4" s="43">
        <f>MIN(Supuestos!$E$17,AJ4*(1-Supuestos!$E$16/12)+Supuestos!$E$15)</f>
        <v/>
      </c>
      <c r="AL4" s="43">
        <f>MIN(Supuestos!$E$17,AK4*(1-Supuestos!$E$16/12)+Supuestos!$E$15)</f>
        <v/>
      </c>
    </row>
    <row r="5">
      <c r="A5" s="8" t="inlineStr">
        <is>
          <t>Buses atendidos</t>
        </is>
      </c>
      <c r="B5" s="42" t="n">
        <v>0</v>
      </c>
      <c r="C5" s="42">
        <f>C4*Supuestos!$E$8</f>
        <v/>
      </c>
      <c r="D5" s="42">
        <f>D4*Supuestos!$E$8</f>
        <v/>
      </c>
      <c r="E5" s="42">
        <f>E4*Supuestos!$E$8</f>
        <v/>
      </c>
      <c r="F5" s="42">
        <f>F4*Supuestos!$E$8</f>
        <v/>
      </c>
      <c r="G5" s="42">
        <f>G4*Supuestos!$E$8</f>
        <v/>
      </c>
      <c r="H5" s="42">
        <f>H4*Supuestos!$E$8</f>
        <v/>
      </c>
      <c r="I5" s="42">
        <f>I4*Supuestos!$E$8</f>
        <v/>
      </c>
      <c r="J5" s="42">
        <f>J4*Supuestos!$E$8</f>
        <v/>
      </c>
      <c r="K5" s="42">
        <f>K4*Supuestos!$E$8</f>
        <v/>
      </c>
      <c r="L5" s="42">
        <f>L4*Supuestos!$E$8</f>
        <v/>
      </c>
      <c r="M5" s="42">
        <f>M4*Supuestos!$E$8</f>
        <v/>
      </c>
      <c r="N5" s="42">
        <f>N4*Supuestos!$E$8</f>
        <v/>
      </c>
      <c r="O5" s="42">
        <f>O4*Supuestos!$E$8</f>
        <v/>
      </c>
      <c r="P5" s="42">
        <f>P4*Supuestos!$E$8</f>
        <v/>
      </c>
      <c r="Q5" s="42">
        <f>Q4*Supuestos!$E$8</f>
        <v/>
      </c>
      <c r="R5" s="42">
        <f>R4*Supuestos!$E$8</f>
        <v/>
      </c>
      <c r="S5" s="42">
        <f>S4*Supuestos!$E$8</f>
        <v/>
      </c>
      <c r="T5" s="42">
        <f>T4*Supuestos!$E$8</f>
        <v/>
      </c>
      <c r="U5" s="42">
        <f>U4*Supuestos!$E$8</f>
        <v/>
      </c>
      <c r="V5" s="42">
        <f>V4*Supuestos!$E$8</f>
        <v/>
      </c>
      <c r="W5" s="42">
        <f>W4*Supuestos!$E$8</f>
        <v/>
      </c>
      <c r="X5" s="42">
        <f>X4*Supuestos!$E$8</f>
        <v/>
      </c>
      <c r="Y5" s="42">
        <f>Y4*Supuestos!$E$8</f>
        <v/>
      </c>
      <c r="Z5" s="42">
        <f>Z4*Supuestos!$E$8</f>
        <v/>
      </c>
      <c r="AA5" s="42">
        <f>AA4*Supuestos!$E$8</f>
        <v/>
      </c>
      <c r="AB5" s="42">
        <f>AB4*Supuestos!$E$8</f>
        <v/>
      </c>
      <c r="AC5" s="42">
        <f>AC4*Supuestos!$E$8</f>
        <v/>
      </c>
      <c r="AD5" s="42">
        <f>AD4*Supuestos!$E$8</f>
        <v/>
      </c>
      <c r="AE5" s="42">
        <f>AE4*Supuestos!$E$8</f>
        <v/>
      </c>
      <c r="AF5" s="42">
        <f>AF4*Supuestos!$E$8</f>
        <v/>
      </c>
      <c r="AG5" s="42">
        <f>AG4*Supuestos!$E$8</f>
        <v/>
      </c>
      <c r="AH5" s="42">
        <f>AH4*Supuestos!$E$8</f>
        <v/>
      </c>
      <c r="AI5" s="42">
        <f>AI4*Supuestos!$E$8</f>
        <v/>
      </c>
      <c r="AJ5" s="42">
        <f>AJ4*Supuestos!$E$8</f>
        <v/>
      </c>
      <c r="AK5" s="42">
        <f>AK4*Supuestos!$E$8</f>
        <v/>
      </c>
      <c r="AL5" s="42">
        <f>AL4*Supuestos!$E$8</f>
        <v/>
      </c>
    </row>
    <row r="6">
      <c r="A6" s="8" t="inlineStr">
        <is>
          <t>Factor de reajuste de precio</t>
        </is>
      </c>
      <c r="B6" s="61" t="n">
        <v>0</v>
      </c>
      <c r="C6" s="61">
        <f>(1+Supuestos!$E$11)^INT((C$3-1)/12)</f>
        <v/>
      </c>
      <c r="D6" s="61">
        <f>(1+Supuestos!$E$11)^INT((D$3-1)/12)</f>
        <v/>
      </c>
      <c r="E6" s="61">
        <f>(1+Supuestos!$E$11)^INT((E$3-1)/12)</f>
        <v/>
      </c>
      <c r="F6" s="61">
        <f>(1+Supuestos!$E$11)^INT((F$3-1)/12)</f>
        <v/>
      </c>
      <c r="G6" s="61">
        <f>(1+Supuestos!$E$11)^INT((G$3-1)/12)</f>
        <v/>
      </c>
      <c r="H6" s="61">
        <f>(1+Supuestos!$E$11)^INT((H$3-1)/12)</f>
        <v/>
      </c>
      <c r="I6" s="61">
        <f>(1+Supuestos!$E$11)^INT((I$3-1)/12)</f>
        <v/>
      </c>
      <c r="J6" s="61">
        <f>(1+Supuestos!$E$11)^INT((J$3-1)/12)</f>
        <v/>
      </c>
      <c r="K6" s="61">
        <f>(1+Supuestos!$E$11)^INT((K$3-1)/12)</f>
        <v/>
      </c>
      <c r="L6" s="61">
        <f>(1+Supuestos!$E$11)^INT((L$3-1)/12)</f>
        <v/>
      </c>
      <c r="M6" s="61">
        <f>(1+Supuestos!$E$11)^INT((M$3-1)/12)</f>
        <v/>
      </c>
      <c r="N6" s="61">
        <f>(1+Supuestos!$E$11)^INT((N$3-1)/12)</f>
        <v/>
      </c>
      <c r="O6" s="61">
        <f>(1+Supuestos!$E$11)^INT((O$3-1)/12)</f>
        <v/>
      </c>
      <c r="P6" s="61">
        <f>(1+Supuestos!$E$11)^INT((P$3-1)/12)</f>
        <v/>
      </c>
      <c r="Q6" s="61">
        <f>(1+Supuestos!$E$11)^INT((Q$3-1)/12)</f>
        <v/>
      </c>
      <c r="R6" s="61">
        <f>(1+Supuestos!$E$11)^INT((R$3-1)/12)</f>
        <v/>
      </c>
      <c r="S6" s="61">
        <f>(1+Supuestos!$E$11)^INT((S$3-1)/12)</f>
        <v/>
      </c>
      <c r="T6" s="61">
        <f>(1+Supuestos!$E$11)^INT((T$3-1)/12)</f>
        <v/>
      </c>
      <c r="U6" s="61">
        <f>(1+Supuestos!$E$11)^INT((U$3-1)/12)</f>
        <v/>
      </c>
      <c r="V6" s="61">
        <f>(1+Supuestos!$E$11)^INT((V$3-1)/12)</f>
        <v/>
      </c>
      <c r="W6" s="61">
        <f>(1+Supuestos!$E$11)^INT((W$3-1)/12)</f>
        <v/>
      </c>
      <c r="X6" s="61">
        <f>(1+Supuestos!$E$11)^INT((X$3-1)/12)</f>
        <v/>
      </c>
      <c r="Y6" s="61">
        <f>(1+Supuestos!$E$11)^INT((Y$3-1)/12)</f>
        <v/>
      </c>
      <c r="Z6" s="61">
        <f>(1+Supuestos!$E$11)^INT((Z$3-1)/12)</f>
        <v/>
      </c>
      <c r="AA6" s="61">
        <f>(1+Supuestos!$E$11)^INT((AA$3-1)/12)</f>
        <v/>
      </c>
      <c r="AB6" s="61">
        <f>(1+Supuestos!$E$11)^INT((AB$3-1)/12)</f>
        <v/>
      </c>
      <c r="AC6" s="61">
        <f>(1+Supuestos!$E$11)^INT((AC$3-1)/12)</f>
        <v/>
      </c>
      <c r="AD6" s="61">
        <f>(1+Supuestos!$E$11)^INT((AD$3-1)/12)</f>
        <v/>
      </c>
      <c r="AE6" s="61">
        <f>(1+Supuestos!$E$11)^INT((AE$3-1)/12)</f>
        <v/>
      </c>
      <c r="AF6" s="61">
        <f>(1+Supuestos!$E$11)^INT((AF$3-1)/12)</f>
        <v/>
      </c>
      <c r="AG6" s="61">
        <f>(1+Supuestos!$E$11)^INT((AG$3-1)/12)</f>
        <v/>
      </c>
      <c r="AH6" s="61">
        <f>(1+Supuestos!$E$11)^INT((AH$3-1)/12)</f>
        <v/>
      </c>
      <c r="AI6" s="61">
        <f>(1+Supuestos!$E$11)^INT((AI$3-1)/12)</f>
        <v/>
      </c>
      <c r="AJ6" s="61">
        <f>(1+Supuestos!$E$11)^INT((AJ$3-1)/12)</f>
        <v/>
      </c>
      <c r="AK6" s="61">
        <f>(1+Supuestos!$E$11)^INT((AK$3-1)/12)</f>
        <v/>
      </c>
      <c r="AL6" s="61">
        <f>(1+Supuestos!$E$11)^INT((AL$3-1)/12)</f>
        <v/>
      </c>
    </row>
    <row r="7">
      <c r="A7" s="8" t="inlineStr">
        <is>
          <t>Ingreso facturado</t>
        </is>
      </c>
      <c r="B7" s="13" t="n">
        <v>0</v>
      </c>
      <c r="C7" s="13">
        <f>(C4*Supuestos!$E$9+C5*Supuestos!$E$10)*C6*(1-Supuestos!$E$12*Supuestos!$E$13)</f>
        <v/>
      </c>
      <c r="D7" s="13">
        <f>(D4*Supuestos!$E$9+D5*Supuestos!$E$10)*D6*(1-Supuestos!$E$12*Supuestos!$E$13)</f>
        <v/>
      </c>
      <c r="E7" s="13">
        <f>(E4*Supuestos!$E$9+E5*Supuestos!$E$10)*E6*(1-Supuestos!$E$12*Supuestos!$E$13)</f>
        <v/>
      </c>
      <c r="F7" s="13">
        <f>(F4*Supuestos!$E$9+F5*Supuestos!$E$10)*F6*(1-Supuestos!$E$12*Supuestos!$E$13)</f>
        <v/>
      </c>
      <c r="G7" s="13">
        <f>(G4*Supuestos!$E$9+G5*Supuestos!$E$10)*G6*(1-Supuestos!$E$12*Supuestos!$E$13)</f>
        <v/>
      </c>
      <c r="H7" s="13">
        <f>(H4*Supuestos!$E$9+H5*Supuestos!$E$10)*H6*(1-Supuestos!$E$12*Supuestos!$E$13)</f>
        <v/>
      </c>
      <c r="I7" s="13">
        <f>(I4*Supuestos!$E$9+I5*Supuestos!$E$10)*I6*(1-Supuestos!$E$12*Supuestos!$E$13)</f>
        <v/>
      </c>
      <c r="J7" s="13">
        <f>(J4*Supuestos!$E$9+J5*Supuestos!$E$10)*J6*(1-Supuestos!$E$12*Supuestos!$E$13)</f>
        <v/>
      </c>
      <c r="K7" s="13">
        <f>(K4*Supuestos!$E$9+K5*Supuestos!$E$10)*K6*(1-Supuestos!$E$12*Supuestos!$E$13)</f>
        <v/>
      </c>
      <c r="L7" s="13">
        <f>(L4*Supuestos!$E$9+L5*Supuestos!$E$10)*L6*(1-Supuestos!$E$12*Supuestos!$E$13)</f>
        <v/>
      </c>
      <c r="M7" s="13">
        <f>(M4*Supuestos!$E$9+M5*Supuestos!$E$10)*M6*(1-Supuestos!$E$12*Supuestos!$E$13)</f>
        <v/>
      </c>
      <c r="N7" s="13">
        <f>(N4*Supuestos!$E$9+N5*Supuestos!$E$10)*N6*(1-Supuestos!$E$12*Supuestos!$E$13)</f>
        <v/>
      </c>
      <c r="O7" s="13">
        <f>(O4*Supuestos!$E$9+O5*Supuestos!$E$10)*O6*(1-Supuestos!$E$12*Supuestos!$E$13)</f>
        <v/>
      </c>
      <c r="P7" s="13">
        <f>(P4*Supuestos!$E$9+P5*Supuestos!$E$10)*P6*(1-Supuestos!$E$12*Supuestos!$E$13)</f>
        <v/>
      </c>
      <c r="Q7" s="13">
        <f>(Q4*Supuestos!$E$9+Q5*Supuestos!$E$10)*Q6*(1-Supuestos!$E$12*Supuestos!$E$13)</f>
        <v/>
      </c>
      <c r="R7" s="13">
        <f>(R4*Supuestos!$E$9+R5*Supuestos!$E$10)*R6*(1-Supuestos!$E$12*Supuestos!$E$13)</f>
        <v/>
      </c>
      <c r="S7" s="13">
        <f>(S4*Supuestos!$E$9+S5*Supuestos!$E$10)*S6*(1-Supuestos!$E$12*Supuestos!$E$13)</f>
        <v/>
      </c>
      <c r="T7" s="13">
        <f>(T4*Supuestos!$E$9+T5*Supuestos!$E$10)*T6*(1-Supuestos!$E$12*Supuestos!$E$13)</f>
        <v/>
      </c>
      <c r="U7" s="13">
        <f>(U4*Supuestos!$E$9+U5*Supuestos!$E$10)*U6*(1-Supuestos!$E$12*Supuestos!$E$13)</f>
        <v/>
      </c>
      <c r="V7" s="13">
        <f>(V4*Supuestos!$E$9+V5*Supuestos!$E$10)*V6*(1-Supuestos!$E$12*Supuestos!$E$13)</f>
        <v/>
      </c>
      <c r="W7" s="13">
        <f>(W4*Supuestos!$E$9+W5*Supuestos!$E$10)*W6*(1-Supuestos!$E$12*Supuestos!$E$13)</f>
        <v/>
      </c>
      <c r="X7" s="13">
        <f>(X4*Supuestos!$E$9+X5*Supuestos!$E$10)*X6*(1-Supuestos!$E$12*Supuestos!$E$13)</f>
        <v/>
      </c>
      <c r="Y7" s="13">
        <f>(Y4*Supuestos!$E$9+Y5*Supuestos!$E$10)*Y6*(1-Supuestos!$E$12*Supuestos!$E$13)</f>
        <v/>
      </c>
      <c r="Z7" s="13">
        <f>(Z4*Supuestos!$E$9+Z5*Supuestos!$E$10)*Z6*(1-Supuestos!$E$12*Supuestos!$E$13)</f>
        <v/>
      </c>
      <c r="AA7" s="13">
        <f>(AA4*Supuestos!$E$9+AA5*Supuestos!$E$10)*AA6*(1-Supuestos!$E$12*Supuestos!$E$13)</f>
        <v/>
      </c>
      <c r="AB7" s="13">
        <f>(AB4*Supuestos!$E$9+AB5*Supuestos!$E$10)*AB6*(1-Supuestos!$E$12*Supuestos!$E$13)</f>
        <v/>
      </c>
      <c r="AC7" s="13">
        <f>(AC4*Supuestos!$E$9+AC5*Supuestos!$E$10)*AC6*(1-Supuestos!$E$12*Supuestos!$E$13)</f>
        <v/>
      </c>
      <c r="AD7" s="13">
        <f>(AD4*Supuestos!$E$9+AD5*Supuestos!$E$10)*AD6*(1-Supuestos!$E$12*Supuestos!$E$13)</f>
        <v/>
      </c>
      <c r="AE7" s="13">
        <f>(AE4*Supuestos!$E$9+AE5*Supuestos!$E$10)*AE6*(1-Supuestos!$E$12*Supuestos!$E$13)</f>
        <v/>
      </c>
      <c r="AF7" s="13">
        <f>(AF4*Supuestos!$E$9+AF5*Supuestos!$E$10)*AF6*(1-Supuestos!$E$12*Supuestos!$E$13)</f>
        <v/>
      </c>
      <c r="AG7" s="13">
        <f>(AG4*Supuestos!$E$9+AG5*Supuestos!$E$10)*AG6*(1-Supuestos!$E$12*Supuestos!$E$13)</f>
        <v/>
      </c>
      <c r="AH7" s="13">
        <f>(AH4*Supuestos!$E$9+AH5*Supuestos!$E$10)*AH6*(1-Supuestos!$E$12*Supuestos!$E$13)</f>
        <v/>
      </c>
      <c r="AI7" s="13">
        <f>(AI4*Supuestos!$E$9+AI5*Supuestos!$E$10)*AI6*(1-Supuestos!$E$12*Supuestos!$E$13)</f>
        <v/>
      </c>
      <c r="AJ7" s="13">
        <f>(AJ4*Supuestos!$E$9+AJ5*Supuestos!$E$10)*AJ6*(1-Supuestos!$E$12*Supuestos!$E$13)</f>
        <v/>
      </c>
      <c r="AK7" s="13">
        <f>(AK4*Supuestos!$E$9+AK5*Supuestos!$E$10)*AK6*(1-Supuestos!$E$12*Supuestos!$E$13)</f>
        <v/>
      </c>
      <c r="AL7" s="13">
        <f>(AL4*Supuestos!$E$9+AL5*Supuestos!$E$10)*AL6*(1-Supuestos!$E$12*Supuestos!$E$13)</f>
        <v/>
      </c>
    </row>
    <row r="8">
      <c r="A8" s="5" t="inlineStr">
        <is>
          <t>Ingreso cobrado</t>
        </is>
      </c>
      <c r="B8" s="11" t="n">
        <v>0</v>
      </c>
      <c r="C8" s="11">
        <f>C7*(1-Supuestos!$E$14)</f>
        <v/>
      </c>
      <c r="D8" s="11">
        <f>D7*(1-Supuestos!$E$14)</f>
        <v/>
      </c>
      <c r="E8" s="11">
        <f>E7*(1-Supuestos!$E$14)</f>
        <v/>
      </c>
      <c r="F8" s="11">
        <f>F7*(1-Supuestos!$E$14)</f>
        <v/>
      </c>
      <c r="G8" s="11">
        <f>G7*(1-Supuestos!$E$14)</f>
        <v/>
      </c>
      <c r="H8" s="11">
        <f>H7*(1-Supuestos!$E$14)</f>
        <v/>
      </c>
      <c r="I8" s="11">
        <f>I7*(1-Supuestos!$E$14)</f>
        <v/>
      </c>
      <c r="J8" s="11">
        <f>J7*(1-Supuestos!$E$14)</f>
        <v/>
      </c>
      <c r="K8" s="11">
        <f>K7*(1-Supuestos!$E$14)</f>
        <v/>
      </c>
      <c r="L8" s="11">
        <f>L7*(1-Supuestos!$E$14)</f>
        <v/>
      </c>
      <c r="M8" s="11">
        <f>M7*(1-Supuestos!$E$14)</f>
        <v/>
      </c>
      <c r="N8" s="11">
        <f>N7*(1-Supuestos!$E$14)</f>
        <v/>
      </c>
      <c r="O8" s="11">
        <f>O7*(1-Supuestos!$E$14)</f>
        <v/>
      </c>
      <c r="P8" s="11">
        <f>P7*(1-Supuestos!$E$14)</f>
        <v/>
      </c>
      <c r="Q8" s="11">
        <f>Q7*(1-Supuestos!$E$14)</f>
        <v/>
      </c>
      <c r="R8" s="11">
        <f>R7*(1-Supuestos!$E$14)</f>
        <v/>
      </c>
      <c r="S8" s="11">
        <f>S7*(1-Supuestos!$E$14)</f>
        <v/>
      </c>
      <c r="T8" s="11">
        <f>T7*(1-Supuestos!$E$14)</f>
        <v/>
      </c>
      <c r="U8" s="11">
        <f>U7*(1-Supuestos!$E$14)</f>
        <v/>
      </c>
      <c r="V8" s="11">
        <f>V7*(1-Supuestos!$E$14)</f>
        <v/>
      </c>
      <c r="W8" s="11">
        <f>W7*(1-Supuestos!$E$14)</f>
        <v/>
      </c>
      <c r="X8" s="11">
        <f>X7*(1-Supuestos!$E$14)</f>
        <v/>
      </c>
      <c r="Y8" s="11">
        <f>Y7*(1-Supuestos!$E$14)</f>
        <v/>
      </c>
      <c r="Z8" s="11">
        <f>Z7*(1-Supuestos!$E$14)</f>
        <v/>
      </c>
      <c r="AA8" s="11">
        <f>AA7*(1-Supuestos!$E$14)</f>
        <v/>
      </c>
      <c r="AB8" s="11">
        <f>AB7*(1-Supuestos!$E$14)</f>
        <v/>
      </c>
      <c r="AC8" s="11">
        <f>AC7*(1-Supuestos!$E$14)</f>
        <v/>
      </c>
      <c r="AD8" s="11">
        <f>AD7*(1-Supuestos!$E$14)</f>
        <v/>
      </c>
      <c r="AE8" s="11">
        <f>AE7*(1-Supuestos!$E$14)</f>
        <v/>
      </c>
      <c r="AF8" s="11">
        <f>AF7*(1-Supuestos!$E$14)</f>
        <v/>
      </c>
      <c r="AG8" s="11">
        <f>AG7*(1-Supuestos!$E$14)</f>
        <v/>
      </c>
      <c r="AH8" s="11">
        <f>AH7*(1-Supuestos!$E$14)</f>
        <v/>
      </c>
      <c r="AI8" s="11">
        <f>AI7*(1-Supuestos!$E$14)</f>
        <v/>
      </c>
      <c r="AJ8" s="11">
        <f>AJ7*(1-Supuestos!$E$14)</f>
        <v/>
      </c>
      <c r="AK8" s="11">
        <f>AK7*(1-Supuestos!$E$14)</f>
        <v/>
      </c>
      <c r="AL8" s="11">
        <f>AL7*(1-Supuestos!$E$14)</f>
        <v/>
      </c>
    </row>
    <row r="9">
      <c r="A9" s="8" t="inlineStr">
        <is>
          <t>Siniestros materiales</t>
        </is>
      </c>
      <c r="B9" s="43" t="n">
        <v>0</v>
      </c>
      <c r="C9" s="43">
        <f>C5*Supuestos!$E$19/12</f>
        <v/>
      </c>
      <c r="D9" s="43">
        <f>D5*Supuestos!$E$19/12</f>
        <v/>
      </c>
      <c r="E9" s="43">
        <f>E5*Supuestos!$E$19/12</f>
        <v/>
      </c>
      <c r="F9" s="43">
        <f>F5*Supuestos!$E$19/12</f>
        <v/>
      </c>
      <c r="G9" s="43">
        <f>G5*Supuestos!$E$19/12</f>
        <v/>
      </c>
      <c r="H9" s="43">
        <f>H5*Supuestos!$E$19/12</f>
        <v/>
      </c>
      <c r="I9" s="43">
        <f>I5*Supuestos!$E$19/12</f>
        <v/>
      </c>
      <c r="J9" s="43">
        <f>J5*Supuestos!$E$19/12</f>
        <v/>
      </c>
      <c r="K9" s="43">
        <f>K5*Supuestos!$E$19/12</f>
        <v/>
      </c>
      <c r="L9" s="43">
        <f>L5*Supuestos!$E$19/12</f>
        <v/>
      </c>
      <c r="M9" s="43">
        <f>M5*Supuestos!$E$19/12</f>
        <v/>
      </c>
      <c r="N9" s="43">
        <f>N5*Supuestos!$E$19/12</f>
        <v/>
      </c>
      <c r="O9" s="43">
        <f>O5*Supuestos!$E$19/12</f>
        <v/>
      </c>
      <c r="P9" s="43">
        <f>P5*Supuestos!$E$19/12</f>
        <v/>
      </c>
      <c r="Q9" s="43">
        <f>Q5*Supuestos!$E$19/12</f>
        <v/>
      </c>
      <c r="R9" s="43">
        <f>R5*Supuestos!$E$19/12</f>
        <v/>
      </c>
      <c r="S9" s="43">
        <f>S5*Supuestos!$E$19/12</f>
        <v/>
      </c>
      <c r="T9" s="43">
        <f>T5*Supuestos!$E$19/12</f>
        <v/>
      </c>
      <c r="U9" s="43">
        <f>U5*Supuestos!$E$19/12</f>
        <v/>
      </c>
      <c r="V9" s="43">
        <f>V5*Supuestos!$E$19/12</f>
        <v/>
      </c>
      <c r="W9" s="43">
        <f>W5*Supuestos!$E$19/12</f>
        <v/>
      </c>
      <c r="X9" s="43">
        <f>X5*Supuestos!$E$19/12</f>
        <v/>
      </c>
      <c r="Y9" s="43">
        <f>Y5*Supuestos!$E$19/12</f>
        <v/>
      </c>
      <c r="Z9" s="43">
        <f>Z5*Supuestos!$E$19/12</f>
        <v/>
      </c>
      <c r="AA9" s="43">
        <f>AA5*Supuestos!$E$19/12</f>
        <v/>
      </c>
      <c r="AB9" s="43">
        <f>AB5*Supuestos!$E$19/12</f>
        <v/>
      </c>
      <c r="AC9" s="43">
        <f>AC5*Supuestos!$E$19/12</f>
        <v/>
      </c>
      <c r="AD9" s="43">
        <f>AD5*Supuestos!$E$19/12</f>
        <v/>
      </c>
      <c r="AE9" s="43">
        <f>AE5*Supuestos!$E$19/12</f>
        <v/>
      </c>
      <c r="AF9" s="43">
        <f>AF5*Supuestos!$E$19/12</f>
        <v/>
      </c>
      <c r="AG9" s="43">
        <f>AG5*Supuestos!$E$19/12</f>
        <v/>
      </c>
      <c r="AH9" s="43">
        <f>AH5*Supuestos!$E$19/12</f>
        <v/>
      </c>
      <c r="AI9" s="43">
        <f>AI5*Supuestos!$E$19/12</f>
        <v/>
      </c>
      <c r="AJ9" s="43">
        <f>AJ5*Supuestos!$E$19/12</f>
        <v/>
      </c>
      <c r="AK9" s="43">
        <f>AK5*Supuestos!$E$19/12</f>
        <v/>
      </c>
      <c r="AL9" s="43">
        <f>AL5*Supuestos!$E$19/12</f>
        <v/>
      </c>
    </row>
    <row r="10">
      <c r="A10" s="8" t="inlineStr">
        <is>
          <t>Siniestros con lesionados</t>
        </is>
      </c>
      <c r="B10" s="43" t="n">
        <v>0</v>
      </c>
      <c r="C10" s="43">
        <f>C5*Supuestos!$E$20/12</f>
        <v/>
      </c>
      <c r="D10" s="43">
        <f>D5*Supuestos!$E$20/12</f>
        <v/>
      </c>
      <c r="E10" s="43">
        <f>E5*Supuestos!$E$20/12</f>
        <v/>
      </c>
      <c r="F10" s="43">
        <f>F5*Supuestos!$E$20/12</f>
        <v/>
      </c>
      <c r="G10" s="43">
        <f>G5*Supuestos!$E$20/12</f>
        <v/>
      </c>
      <c r="H10" s="43">
        <f>H5*Supuestos!$E$20/12</f>
        <v/>
      </c>
      <c r="I10" s="43">
        <f>I5*Supuestos!$E$20/12</f>
        <v/>
      </c>
      <c r="J10" s="43">
        <f>J5*Supuestos!$E$20/12</f>
        <v/>
      </c>
      <c r="K10" s="43">
        <f>K5*Supuestos!$E$20/12</f>
        <v/>
      </c>
      <c r="L10" s="43">
        <f>L5*Supuestos!$E$20/12</f>
        <v/>
      </c>
      <c r="M10" s="43">
        <f>M5*Supuestos!$E$20/12</f>
        <v/>
      </c>
      <c r="N10" s="43">
        <f>N5*Supuestos!$E$20/12</f>
        <v/>
      </c>
      <c r="O10" s="43">
        <f>O5*Supuestos!$E$20/12</f>
        <v/>
      </c>
      <c r="P10" s="43">
        <f>P5*Supuestos!$E$20/12</f>
        <v/>
      </c>
      <c r="Q10" s="43">
        <f>Q5*Supuestos!$E$20/12</f>
        <v/>
      </c>
      <c r="R10" s="43">
        <f>R5*Supuestos!$E$20/12</f>
        <v/>
      </c>
      <c r="S10" s="43">
        <f>S5*Supuestos!$E$20/12</f>
        <v/>
      </c>
      <c r="T10" s="43">
        <f>T5*Supuestos!$E$20/12</f>
        <v/>
      </c>
      <c r="U10" s="43">
        <f>U5*Supuestos!$E$20/12</f>
        <v/>
      </c>
      <c r="V10" s="43">
        <f>V5*Supuestos!$E$20/12</f>
        <v/>
      </c>
      <c r="W10" s="43">
        <f>W5*Supuestos!$E$20/12</f>
        <v/>
      </c>
      <c r="X10" s="43">
        <f>X5*Supuestos!$E$20/12</f>
        <v/>
      </c>
      <c r="Y10" s="43">
        <f>Y5*Supuestos!$E$20/12</f>
        <v/>
      </c>
      <c r="Z10" s="43">
        <f>Z5*Supuestos!$E$20/12</f>
        <v/>
      </c>
      <c r="AA10" s="43">
        <f>AA5*Supuestos!$E$20/12</f>
        <v/>
      </c>
      <c r="AB10" s="43">
        <f>AB5*Supuestos!$E$20/12</f>
        <v/>
      </c>
      <c r="AC10" s="43">
        <f>AC5*Supuestos!$E$20/12</f>
        <v/>
      </c>
      <c r="AD10" s="43">
        <f>AD5*Supuestos!$E$20/12</f>
        <v/>
      </c>
      <c r="AE10" s="43">
        <f>AE5*Supuestos!$E$20/12</f>
        <v/>
      </c>
      <c r="AF10" s="43">
        <f>AF5*Supuestos!$E$20/12</f>
        <v/>
      </c>
      <c r="AG10" s="43">
        <f>AG5*Supuestos!$E$20/12</f>
        <v/>
      </c>
      <c r="AH10" s="43">
        <f>AH5*Supuestos!$E$20/12</f>
        <v/>
      </c>
      <c r="AI10" s="43">
        <f>AI5*Supuestos!$E$20/12</f>
        <v/>
      </c>
      <c r="AJ10" s="43">
        <f>AJ5*Supuestos!$E$20/12</f>
        <v/>
      </c>
      <c r="AK10" s="43">
        <f>AK5*Supuestos!$E$20/12</f>
        <v/>
      </c>
      <c r="AL10" s="43">
        <f>AL5*Supuestos!$E$20/12</f>
        <v/>
      </c>
    </row>
    <row r="11">
      <c r="A11" s="8" t="inlineStr">
        <is>
          <t>Siniestros con fallecidos</t>
        </is>
      </c>
      <c r="B11" s="43" t="n">
        <v>0</v>
      </c>
      <c r="C11" s="43">
        <f>C5*Supuestos!$E$21/12</f>
        <v/>
      </c>
      <c r="D11" s="43">
        <f>D5*Supuestos!$E$21/12</f>
        <v/>
      </c>
      <c r="E11" s="43">
        <f>E5*Supuestos!$E$21/12</f>
        <v/>
      </c>
      <c r="F11" s="43">
        <f>F5*Supuestos!$E$21/12</f>
        <v/>
      </c>
      <c r="G11" s="43">
        <f>G5*Supuestos!$E$21/12</f>
        <v/>
      </c>
      <c r="H11" s="43">
        <f>H5*Supuestos!$E$21/12</f>
        <v/>
      </c>
      <c r="I11" s="43">
        <f>I5*Supuestos!$E$21/12</f>
        <v/>
      </c>
      <c r="J11" s="43">
        <f>J5*Supuestos!$E$21/12</f>
        <v/>
      </c>
      <c r="K11" s="43">
        <f>K5*Supuestos!$E$21/12</f>
        <v/>
      </c>
      <c r="L11" s="43">
        <f>L5*Supuestos!$E$21/12</f>
        <v/>
      </c>
      <c r="M11" s="43">
        <f>M5*Supuestos!$E$21/12</f>
        <v/>
      </c>
      <c r="N11" s="43">
        <f>N5*Supuestos!$E$21/12</f>
        <v/>
      </c>
      <c r="O11" s="43">
        <f>O5*Supuestos!$E$21/12</f>
        <v/>
      </c>
      <c r="P11" s="43">
        <f>P5*Supuestos!$E$21/12</f>
        <v/>
      </c>
      <c r="Q11" s="43">
        <f>Q5*Supuestos!$E$21/12</f>
        <v/>
      </c>
      <c r="R11" s="43">
        <f>R5*Supuestos!$E$21/12</f>
        <v/>
      </c>
      <c r="S11" s="43">
        <f>S5*Supuestos!$E$21/12</f>
        <v/>
      </c>
      <c r="T11" s="43">
        <f>T5*Supuestos!$E$21/12</f>
        <v/>
      </c>
      <c r="U11" s="43">
        <f>U5*Supuestos!$E$21/12</f>
        <v/>
      </c>
      <c r="V11" s="43">
        <f>V5*Supuestos!$E$21/12</f>
        <v/>
      </c>
      <c r="W11" s="43">
        <f>W5*Supuestos!$E$21/12</f>
        <v/>
      </c>
      <c r="X11" s="43">
        <f>X5*Supuestos!$E$21/12</f>
        <v/>
      </c>
      <c r="Y11" s="43">
        <f>Y5*Supuestos!$E$21/12</f>
        <v/>
      </c>
      <c r="Z11" s="43">
        <f>Z5*Supuestos!$E$21/12</f>
        <v/>
      </c>
      <c r="AA11" s="43">
        <f>AA5*Supuestos!$E$21/12</f>
        <v/>
      </c>
      <c r="AB11" s="43">
        <f>AB5*Supuestos!$E$21/12</f>
        <v/>
      </c>
      <c r="AC11" s="43">
        <f>AC5*Supuestos!$E$21/12</f>
        <v/>
      </c>
      <c r="AD11" s="43">
        <f>AD5*Supuestos!$E$21/12</f>
        <v/>
      </c>
      <c r="AE11" s="43">
        <f>AE5*Supuestos!$E$21/12</f>
        <v/>
      </c>
      <c r="AF11" s="43">
        <f>AF5*Supuestos!$E$21/12</f>
        <v/>
      </c>
      <c r="AG11" s="43">
        <f>AG5*Supuestos!$E$21/12</f>
        <v/>
      </c>
      <c r="AH11" s="43">
        <f>AH5*Supuestos!$E$21/12</f>
        <v/>
      </c>
      <c r="AI11" s="43">
        <f>AI5*Supuestos!$E$21/12</f>
        <v/>
      </c>
      <c r="AJ11" s="43">
        <f>AJ5*Supuestos!$E$21/12</f>
        <v/>
      </c>
      <c r="AK11" s="43">
        <f>AK5*Supuestos!$E$21/12</f>
        <v/>
      </c>
      <c r="AL11" s="43">
        <f>AL5*Supuestos!$E$21/12</f>
        <v/>
      </c>
    </row>
    <row r="12">
      <c r="A12" s="8" t="inlineStr">
        <is>
          <t>Multas gestionadas</t>
        </is>
      </c>
      <c r="B12" s="43" t="n">
        <v>0</v>
      </c>
      <c r="C12" s="43">
        <f>C5*Supuestos!$E$22/12</f>
        <v/>
      </c>
      <c r="D12" s="43">
        <f>D5*Supuestos!$E$22/12</f>
        <v/>
      </c>
      <c r="E12" s="43">
        <f>E5*Supuestos!$E$22/12</f>
        <v/>
      </c>
      <c r="F12" s="43">
        <f>F5*Supuestos!$E$22/12</f>
        <v/>
      </c>
      <c r="G12" s="43">
        <f>G5*Supuestos!$E$22/12</f>
        <v/>
      </c>
      <c r="H12" s="43">
        <f>H5*Supuestos!$E$22/12</f>
        <v/>
      </c>
      <c r="I12" s="43">
        <f>I5*Supuestos!$E$22/12</f>
        <v/>
      </c>
      <c r="J12" s="43">
        <f>J5*Supuestos!$E$22/12</f>
        <v/>
      </c>
      <c r="K12" s="43">
        <f>K5*Supuestos!$E$22/12</f>
        <v/>
      </c>
      <c r="L12" s="43">
        <f>L5*Supuestos!$E$22/12</f>
        <v/>
      </c>
      <c r="M12" s="43">
        <f>M5*Supuestos!$E$22/12</f>
        <v/>
      </c>
      <c r="N12" s="43">
        <f>N5*Supuestos!$E$22/12</f>
        <v/>
      </c>
      <c r="O12" s="43">
        <f>O5*Supuestos!$E$22/12</f>
        <v/>
      </c>
      <c r="P12" s="43">
        <f>P5*Supuestos!$E$22/12</f>
        <v/>
      </c>
      <c r="Q12" s="43">
        <f>Q5*Supuestos!$E$22/12</f>
        <v/>
      </c>
      <c r="R12" s="43">
        <f>R5*Supuestos!$E$22/12</f>
        <v/>
      </c>
      <c r="S12" s="43">
        <f>S5*Supuestos!$E$22/12</f>
        <v/>
      </c>
      <c r="T12" s="43">
        <f>T5*Supuestos!$E$22/12</f>
        <v/>
      </c>
      <c r="U12" s="43">
        <f>U5*Supuestos!$E$22/12</f>
        <v/>
      </c>
      <c r="V12" s="43">
        <f>V5*Supuestos!$E$22/12</f>
        <v/>
      </c>
      <c r="W12" s="43">
        <f>W5*Supuestos!$E$22/12</f>
        <v/>
      </c>
      <c r="X12" s="43">
        <f>X5*Supuestos!$E$22/12</f>
        <v/>
      </c>
      <c r="Y12" s="43">
        <f>Y5*Supuestos!$E$22/12</f>
        <v/>
      </c>
      <c r="Z12" s="43">
        <f>Z5*Supuestos!$E$22/12</f>
        <v/>
      </c>
      <c r="AA12" s="43">
        <f>AA5*Supuestos!$E$22/12</f>
        <v/>
      </c>
      <c r="AB12" s="43">
        <f>AB5*Supuestos!$E$22/12</f>
        <v/>
      </c>
      <c r="AC12" s="43">
        <f>AC5*Supuestos!$E$22/12</f>
        <v/>
      </c>
      <c r="AD12" s="43">
        <f>AD5*Supuestos!$E$22/12</f>
        <v/>
      </c>
      <c r="AE12" s="43">
        <f>AE5*Supuestos!$E$22/12</f>
        <v/>
      </c>
      <c r="AF12" s="43">
        <f>AF5*Supuestos!$E$22/12</f>
        <v/>
      </c>
      <c r="AG12" s="43">
        <f>AG5*Supuestos!$E$22/12</f>
        <v/>
      </c>
      <c r="AH12" s="43">
        <f>AH5*Supuestos!$E$22/12</f>
        <v/>
      </c>
      <c r="AI12" s="43">
        <f>AI5*Supuestos!$E$22/12</f>
        <v/>
      </c>
      <c r="AJ12" s="43">
        <f>AJ5*Supuestos!$E$22/12</f>
        <v/>
      </c>
      <c r="AK12" s="43">
        <f>AK5*Supuestos!$E$22/12</f>
        <v/>
      </c>
      <c r="AL12" s="43">
        <f>AL5*Supuestos!$E$22/12</f>
        <v/>
      </c>
    </row>
    <row r="13">
      <c r="A13" s="8" t="inlineStr">
        <is>
          <t>Horas de abogado requeridas</t>
        </is>
      </c>
      <c r="B13" s="43" t="n">
        <v>0</v>
      </c>
      <c r="C13" s="43">
        <f>C4*Supuestos!$E$24+C9*Supuestos!$E$25+C10*Supuestos!$E$26+C11*Supuestos!$E$27+C12*Supuestos!$E$28</f>
        <v/>
      </c>
      <c r="D13" s="43">
        <f>D4*Supuestos!$E$24+D9*Supuestos!$E$25+D10*Supuestos!$E$26+D11*Supuestos!$E$27+D12*Supuestos!$E$28</f>
        <v/>
      </c>
      <c r="E13" s="43">
        <f>E4*Supuestos!$E$24+E9*Supuestos!$E$25+E10*Supuestos!$E$26+E11*Supuestos!$E$27+E12*Supuestos!$E$28</f>
        <v/>
      </c>
      <c r="F13" s="43">
        <f>F4*Supuestos!$E$24+F9*Supuestos!$E$25+F10*Supuestos!$E$26+F11*Supuestos!$E$27+F12*Supuestos!$E$28</f>
        <v/>
      </c>
      <c r="G13" s="43">
        <f>G4*Supuestos!$E$24+G9*Supuestos!$E$25+G10*Supuestos!$E$26+G11*Supuestos!$E$27+G12*Supuestos!$E$28</f>
        <v/>
      </c>
      <c r="H13" s="43">
        <f>H4*Supuestos!$E$24+H9*Supuestos!$E$25+H10*Supuestos!$E$26+H11*Supuestos!$E$27+H12*Supuestos!$E$28</f>
        <v/>
      </c>
      <c r="I13" s="43">
        <f>I4*Supuestos!$E$24+I9*Supuestos!$E$25+I10*Supuestos!$E$26+I11*Supuestos!$E$27+I12*Supuestos!$E$28</f>
        <v/>
      </c>
      <c r="J13" s="43">
        <f>J4*Supuestos!$E$24+J9*Supuestos!$E$25+J10*Supuestos!$E$26+J11*Supuestos!$E$27+J12*Supuestos!$E$28</f>
        <v/>
      </c>
      <c r="K13" s="43">
        <f>K4*Supuestos!$E$24+K9*Supuestos!$E$25+K10*Supuestos!$E$26+K11*Supuestos!$E$27+K12*Supuestos!$E$28</f>
        <v/>
      </c>
      <c r="L13" s="43">
        <f>L4*Supuestos!$E$24+L9*Supuestos!$E$25+L10*Supuestos!$E$26+L11*Supuestos!$E$27+L12*Supuestos!$E$28</f>
        <v/>
      </c>
      <c r="M13" s="43">
        <f>M4*Supuestos!$E$24+M9*Supuestos!$E$25+M10*Supuestos!$E$26+M11*Supuestos!$E$27+M12*Supuestos!$E$28</f>
        <v/>
      </c>
      <c r="N13" s="43">
        <f>N4*Supuestos!$E$24+N9*Supuestos!$E$25+N10*Supuestos!$E$26+N11*Supuestos!$E$27+N12*Supuestos!$E$28</f>
        <v/>
      </c>
      <c r="O13" s="43">
        <f>O4*Supuestos!$E$24+O9*Supuestos!$E$25+O10*Supuestos!$E$26+O11*Supuestos!$E$27+O12*Supuestos!$E$28</f>
        <v/>
      </c>
      <c r="P13" s="43">
        <f>P4*Supuestos!$E$24+P9*Supuestos!$E$25+P10*Supuestos!$E$26+P11*Supuestos!$E$27+P12*Supuestos!$E$28</f>
        <v/>
      </c>
      <c r="Q13" s="43">
        <f>Q4*Supuestos!$E$24+Q9*Supuestos!$E$25+Q10*Supuestos!$E$26+Q11*Supuestos!$E$27+Q12*Supuestos!$E$28</f>
        <v/>
      </c>
      <c r="R13" s="43">
        <f>R4*Supuestos!$E$24+R9*Supuestos!$E$25+R10*Supuestos!$E$26+R11*Supuestos!$E$27+R12*Supuestos!$E$28</f>
        <v/>
      </c>
      <c r="S13" s="43">
        <f>S4*Supuestos!$E$24+S9*Supuestos!$E$25+S10*Supuestos!$E$26+S11*Supuestos!$E$27+S12*Supuestos!$E$28</f>
        <v/>
      </c>
      <c r="T13" s="43">
        <f>T4*Supuestos!$E$24+T9*Supuestos!$E$25+T10*Supuestos!$E$26+T11*Supuestos!$E$27+T12*Supuestos!$E$28</f>
        <v/>
      </c>
      <c r="U13" s="43">
        <f>U4*Supuestos!$E$24+U9*Supuestos!$E$25+U10*Supuestos!$E$26+U11*Supuestos!$E$27+U12*Supuestos!$E$28</f>
        <v/>
      </c>
      <c r="V13" s="43">
        <f>V4*Supuestos!$E$24+V9*Supuestos!$E$25+V10*Supuestos!$E$26+V11*Supuestos!$E$27+V12*Supuestos!$E$28</f>
        <v/>
      </c>
      <c r="W13" s="43">
        <f>W4*Supuestos!$E$24+W9*Supuestos!$E$25+W10*Supuestos!$E$26+W11*Supuestos!$E$27+W12*Supuestos!$E$28</f>
        <v/>
      </c>
      <c r="X13" s="43">
        <f>X4*Supuestos!$E$24+X9*Supuestos!$E$25+X10*Supuestos!$E$26+X11*Supuestos!$E$27+X12*Supuestos!$E$28</f>
        <v/>
      </c>
      <c r="Y13" s="43">
        <f>Y4*Supuestos!$E$24+Y9*Supuestos!$E$25+Y10*Supuestos!$E$26+Y11*Supuestos!$E$27+Y12*Supuestos!$E$28</f>
        <v/>
      </c>
      <c r="Z13" s="43">
        <f>Z4*Supuestos!$E$24+Z9*Supuestos!$E$25+Z10*Supuestos!$E$26+Z11*Supuestos!$E$27+Z12*Supuestos!$E$28</f>
        <v/>
      </c>
      <c r="AA13" s="43">
        <f>AA4*Supuestos!$E$24+AA9*Supuestos!$E$25+AA10*Supuestos!$E$26+AA11*Supuestos!$E$27+AA12*Supuestos!$E$28</f>
        <v/>
      </c>
      <c r="AB13" s="43">
        <f>AB4*Supuestos!$E$24+AB9*Supuestos!$E$25+AB10*Supuestos!$E$26+AB11*Supuestos!$E$27+AB12*Supuestos!$E$28</f>
        <v/>
      </c>
      <c r="AC13" s="43">
        <f>AC4*Supuestos!$E$24+AC9*Supuestos!$E$25+AC10*Supuestos!$E$26+AC11*Supuestos!$E$27+AC12*Supuestos!$E$28</f>
        <v/>
      </c>
      <c r="AD13" s="43">
        <f>AD4*Supuestos!$E$24+AD9*Supuestos!$E$25+AD10*Supuestos!$E$26+AD11*Supuestos!$E$27+AD12*Supuestos!$E$28</f>
        <v/>
      </c>
      <c r="AE13" s="43">
        <f>AE4*Supuestos!$E$24+AE9*Supuestos!$E$25+AE10*Supuestos!$E$26+AE11*Supuestos!$E$27+AE12*Supuestos!$E$28</f>
        <v/>
      </c>
      <c r="AF13" s="43">
        <f>AF4*Supuestos!$E$24+AF9*Supuestos!$E$25+AF10*Supuestos!$E$26+AF11*Supuestos!$E$27+AF12*Supuestos!$E$28</f>
        <v/>
      </c>
      <c r="AG13" s="43">
        <f>AG4*Supuestos!$E$24+AG9*Supuestos!$E$25+AG10*Supuestos!$E$26+AG11*Supuestos!$E$27+AG12*Supuestos!$E$28</f>
        <v/>
      </c>
      <c r="AH13" s="43">
        <f>AH4*Supuestos!$E$24+AH9*Supuestos!$E$25+AH10*Supuestos!$E$26+AH11*Supuestos!$E$27+AH12*Supuestos!$E$28</f>
        <v/>
      </c>
      <c r="AI13" s="43">
        <f>AI4*Supuestos!$E$24+AI9*Supuestos!$E$25+AI10*Supuestos!$E$26+AI11*Supuestos!$E$27+AI12*Supuestos!$E$28</f>
        <v/>
      </c>
      <c r="AJ13" s="43">
        <f>AJ4*Supuestos!$E$24+AJ9*Supuestos!$E$25+AJ10*Supuestos!$E$26+AJ11*Supuestos!$E$27+AJ12*Supuestos!$E$28</f>
        <v/>
      </c>
      <c r="AK13" s="43">
        <f>AK4*Supuestos!$E$24+AK9*Supuestos!$E$25+AK10*Supuestos!$E$26+AK11*Supuestos!$E$27+AK12*Supuestos!$E$28</f>
        <v/>
      </c>
      <c r="AL13" s="43">
        <f>AL4*Supuestos!$E$24+AL9*Supuestos!$E$25+AL10*Supuestos!$E$26+AL11*Supuestos!$E$27+AL12*Supuestos!$E$28</f>
        <v/>
      </c>
    </row>
    <row r="14">
      <c r="A14" s="8" t="inlineStr">
        <is>
          <t>Abogados dedicados</t>
        </is>
      </c>
      <c r="B14" s="42" t="n">
        <v>0</v>
      </c>
      <c r="C14" s="42">
        <f>MAX(Supuestos!$E$36,ROUNDUP(C13/Supuestos!$E$35,0))</f>
        <v/>
      </c>
      <c r="D14" s="42">
        <f>MAX(Supuestos!$E$36,ROUNDUP(D13/Supuestos!$E$35,0))</f>
        <v/>
      </c>
      <c r="E14" s="42">
        <f>MAX(Supuestos!$E$36,ROUNDUP(E13/Supuestos!$E$35,0))</f>
        <v/>
      </c>
      <c r="F14" s="42">
        <f>MAX(Supuestos!$E$36,ROUNDUP(F13/Supuestos!$E$35,0))</f>
        <v/>
      </c>
      <c r="G14" s="42">
        <f>MAX(Supuestos!$E$36,ROUNDUP(G13/Supuestos!$E$35,0))</f>
        <v/>
      </c>
      <c r="H14" s="42">
        <f>MAX(Supuestos!$E$36,ROUNDUP(H13/Supuestos!$E$35,0))</f>
        <v/>
      </c>
      <c r="I14" s="42">
        <f>MAX(Supuestos!$E$36,ROUNDUP(I13/Supuestos!$E$35,0))</f>
        <v/>
      </c>
      <c r="J14" s="42">
        <f>MAX(Supuestos!$E$36,ROUNDUP(J13/Supuestos!$E$35,0))</f>
        <v/>
      </c>
      <c r="K14" s="42">
        <f>MAX(Supuestos!$E$36,ROUNDUP(K13/Supuestos!$E$35,0))</f>
        <v/>
      </c>
      <c r="L14" s="42">
        <f>MAX(Supuestos!$E$36,ROUNDUP(L13/Supuestos!$E$35,0))</f>
        <v/>
      </c>
      <c r="M14" s="42">
        <f>MAX(Supuestos!$E$36,ROUNDUP(M13/Supuestos!$E$35,0))</f>
        <v/>
      </c>
      <c r="N14" s="42">
        <f>MAX(Supuestos!$E$36,ROUNDUP(N13/Supuestos!$E$35,0))</f>
        <v/>
      </c>
      <c r="O14" s="42">
        <f>MAX(Supuestos!$E$36,ROUNDUP(O13/Supuestos!$E$35,0))</f>
        <v/>
      </c>
      <c r="P14" s="42">
        <f>MAX(Supuestos!$E$36,ROUNDUP(P13/Supuestos!$E$35,0))</f>
        <v/>
      </c>
      <c r="Q14" s="42">
        <f>MAX(Supuestos!$E$36,ROUNDUP(Q13/Supuestos!$E$35,0))</f>
        <v/>
      </c>
      <c r="R14" s="42">
        <f>MAX(Supuestos!$E$36,ROUNDUP(R13/Supuestos!$E$35,0))</f>
        <v/>
      </c>
      <c r="S14" s="42">
        <f>MAX(Supuestos!$E$36,ROUNDUP(S13/Supuestos!$E$35,0))</f>
        <v/>
      </c>
      <c r="T14" s="42">
        <f>MAX(Supuestos!$E$36,ROUNDUP(T13/Supuestos!$E$35,0))</f>
        <v/>
      </c>
      <c r="U14" s="42">
        <f>MAX(Supuestos!$E$36,ROUNDUP(U13/Supuestos!$E$35,0))</f>
        <v/>
      </c>
      <c r="V14" s="42">
        <f>MAX(Supuestos!$E$36,ROUNDUP(V13/Supuestos!$E$35,0))</f>
        <v/>
      </c>
      <c r="W14" s="42">
        <f>MAX(Supuestos!$E$36,ROUNDUP(W13/Supuestos!$E$35,0))</f>
        <v/>
      </c>
      <c r="X14" s="42">
        <f>MAX(Supuestos!$E$36,ROUNDUP(X13/Supuestos!$E$35,0))</f>
        <v/>
      </c>
      <c r="Y14" s="42">
        <f>MAX(Supuestos!$E$36,ROUNDUP(Y13/Supuestos!$E$35,0))</f>
        <v/>
      </c>
      <c r="Z14" s="42">
        <f>MAX(Supuestos!$E$36,ROUNDUP(Z13/Supuestos!$E$35,0))</f>
        <v/>
      </c>
      <c r="AA14" s="42">
        <f>MAX(Supuestos!$E$36,ROUNDUP(AA13/Supuestos!$E$35,0))</f>
        <v/>
      </c>
      <c r="AB14" s="42">
        <f>MAX(Supuestos!$E$36,ROUNDUP(AB13/Supuestos!$E$35,0))</f>
        <v/>
      </c>
      <c r="AC14" s="42">
        <f>MAX(Supuestos!$E$36,ROUNDUP(AC13/Supuestos!$E$35,0))</f>
        <v/>
      </c>
      <c r="AD14" s="42">
        <f>MAX(Supuestos!$E$36,ROUNDUP(AD13/Supuestos!$E$35,0))</f>
        <v/>
      </c>
      <c r="AE14" s="42">
        <f>MAX(Supuestos!$E$36,ROUNDUP(AE13/Supuestos!$E$35,0))</f>
        <v/>
      </c>
      <c r="AF14" s="42">
        <f>MAX(Supuestos!$E$36,ROUNDUP(AF13/Supuestos!$E$35,0))</f>
        <v/>
      </c>
      <c r="AG14" s="42">
        <f>MAX(Supuestos!$E$36,ROUNDUP(AG13/Supuestos!$E$35,0))</f>
        <v/>
      </c>
      <c r="AH14" s="42">
        <f>MAX(Supuestos!$E$36,ROUNDUP(AH13/Supuestos!$E$35,0))</f>
        <v/>
      </c>
      <c r="AI14" s="42">
        <f>MAX(Supuestos!$E$36,ROUNDUP(AI13/Supuestos!$E$35,0))</f>
        <v/>
      </c>
      <c r="AJ14" s="42">
        <f>MAX(Supuestos!$E$36,ROUNDUP(AJ13/Supuestos!$E$35,0))</f>
        <v/>
      </c>
      <c r="AK14" s="42">
        <f>MAX(Supuestos!$E$36,ROUNDUP(AK13/Supuestos!$E$35,0))</f>
        <v/>
      </c>
      <c r="AL14" s="42">
        <f>MAX(Supuestos!$E$36,ROUNDUP(AL13/Supuestos!$E$35,0))</f>
        <v/>
      </c>
    </row>
    <row r="15">
      <c r="A15" s="8" t="inlineStr">
        <is>
          <t>Costo de abogados</t>
        </is>
      </c>
      <c r="B15" s="13" t="n">
        <v>0</v>
      </c>
      <c r="C15" s="13">
        <f>C14*Supuestos!$E$34</f>
        <v/>
      </c>
      <c r="D15" s="13">
        <f>D14*Supuestos!$E$34</f>
        <v/>
      </c>
      <c r="E15" s="13">
        <f>E14*Supuestos!$E$34</f>
        <v/>
      </c>
      <c r="F15" s="13">
        <f>F14*Supuestos!$E$34</f>
        <v/>
      </c>
      <c r="G15" s="13">
        <f>G14*Supuestos!$E$34</f>
        <v/>
      </c>
      <c r="H15" s="13">
        <f>H14*Supuestos!$E$34</f>
        <v/>
      </c>
      <c r="I15" s="13">
        <f>I14*Supuestos!$E$34</f>
        <v/>
      </c>
      <c r="J15" s="13">
        <f>J14*Supuestos!$E$34</f>
        <v/>
      </c>
      <c r="K15" s="13">
        <f>K14*Supuestos!$E$34</f>
        <v/>
      </c>
      <c r="L15" s="13">
        <f>L14*Supuestos!$E$34</f>
        <v/>
      </c>
      <c r="M15" s="13">
        <f>M14*Supuestos!$E$34</f>
        <v/>
      </c>
      <c r="N15" s="13">
        <f>N14*Supuestos!$E$34</f>
        <v/>
      </c>
      <c r="O15" s="13">
        <f>O14*Supuestos!$E$34</f>
        <v/>
      </c>
      <c r="P15" s="13">
        <f>P14*Supuestos!$E$34</f>
        <v/>
      </c>
      <c r="Q15" s="13">
        <f>Q14*Supuestos!$E$34</f>
        <v/>
      </c>
      <c r="R15" s="13">
        <f>R14*Supuestos!$E$34</f>
        <v/>
      </c>
      <c r="S15" s="13">
        <f>S14*Supuestos!$E$34</f>
        <v/>
      </c>
      <c r="T15" s="13">
        <f>T14*Supuestos!$E$34</f>
        <v/>
      </c>
      <c r="U15" s="13">
        <f>U14*Supuestos!$E$34</f>
        <v/>
      </c>
      <c r="V15" s="13">
        <f>V14*Supuestos!$E$34</f>
        <v/>
      </c>
      <c r="W15" s="13">
        <f>W14*Supuestos!$E$34</f>
        <v/>
      </c>
      <c r="X15" s="13">
        <f>X14*Supuestos!$E$34</f>
        <v/>
      </c>
      <c r="Y15" s="13">
        <f>Y14*Supuestos!$E$34</f>
        <v/>
      </c>
      <c r="Z15" s="13">
        <f>Z14*Supuestos!$E$34</f>
        <v/>
      </c>
      <c r="AA15" s="13">
        <f>AA14*Supuestos!$E$34</f>
        <v/>
      </c>
      <c r="AB15" s="13">
        <f>AB14*Supuestos!$E$34</f>
        <v/>
      </c>
      <c r="AC15" s="13">
        <f>AC14*Supuestos!$E$34</f>
        <v/>
      </c>
      <c r="AD15" s="13">
        <f>AD14*Supuestos!$E$34</f>
        <v/>
      </c>
      <c r="AE15" s="13">
        <f>AE14*Supuestos!$E$34</f>
        <v/>
      </c>
      <c r="AF15" s="13">
        <f>AF14*Supuestos!$E$34</f>
        <v/>
      </c>
      <c r="AG15" s="13">
        <f>AG14*Supuestos!$E$34</f>
        <v/>
      </c>
      <c r="AH15" s="13">
        <f>AH14*Supuestos!$E$34</f>
        <v/>
      </c>
      <c r="AI15" s="13">
        <f>AI14*Supuestos!$E$34</f>
        <v/>
      </c>
      <c r="AJ15" s="13">
        <f>AJ14*Supuestos!$E$34</f>
        <v/>
      </c>
      <c r="AK15" s="13">
        <f>AK14*Supuestos!$E$34</f>
        <v/>
      </c>
      <c r="AL15" s="13">
        <f>AL14*Supuestos!$E$34</f>
        <v/>
      </c>
    </row>
    <row r="16">
      <c r="A16" s="8" t="inlineStr">
        <is>
          <t>Gastos directos de casos</t>
        </is>
      </c>
      <c r="B16" s="13" t="n">
        <v>0</v>
      </c>
      <c r="C16" s="13">
        <f>C9*Supuestos!$E$30+C10*Supuestos!$E$31+C11*Supuestos!$E$32</f>
        <v/>
      </c>
      <c r="D16" s="13">
        <f>D9*Supuestos!$E$30+D10*Supuestos!$E$31+D11*Supuestos!$E$32</f>
        <v/>
      </c>
      <c r="E16" s="13">
        <f>E9*Supuestos!$E$30+E10*Supuestos!$E$31+E11*Supuestos!$E$32</f>
        <v/>
      </c>
      <c r="F16" s="13">
        <f>F9*Supuestos!$E$30+F10*Supuestos!$E$31+F11*Supuestos!$E$32</f>
        <v/>
      </c>
      <c r="G16" s="13">
        <f>G9*Supuestos!$E$30+G10*Supuestos!$E$31+G11*Supuestos!$E$32</f>
        <v/>
      </c>
      <c r="H16" s="13">
        <f>H9*Supuestos!$E$30+H10*Supuestos!$E$31+H11*Supuestos!$E$32</f>
        <v/>
      </c>
      <c r="I16" s="13">
        <f>I9*Supuestos!$E$30+I10*Supuestos!$E$31+I11*Supuestos!$E$32</f>
        <v/>
      </c>
      <c r="J16" s="13">
        <f>J9*Supuestos!$E$30+J10*Supuestos!$E$31+J11*Supuestos!$E$32</f>
        <v/>
      </c>
      <c r="K16" s="13">
        <f>K9*Supuestos!$E$30+K10*Supuestos!$E$31+K11*Supuestos!$E$32</f>
        <v/>
      </c>
      <c r="L16" s="13">
        <f>L9*Supuestos!$E$30+L10*Supuestos!$E$31+L11*Supuestos!$E$32</f>
        <v/>
      </c>
      <c r="M16" s="13">
        <f>M9*Supuestos!$E$30+M10*Supuestos!$E$31+M11*Supuestos!$E$32</f>
        <v/>
      </c>
      <c r="N16" s="13">
        <f>N9*Supuestos!$E$30+N10*Supuestos!$E$31+N11*Supuestos!$E$32</f>
        <v/>
      </c>
      <c r="O16" s="13">
        <f>O9*Supuestos!$E$30+O10*Supuestos!$E$31+O11*Supuestos!$E$32</f>
        <v/>
      </c>
      <c r="P16" s="13">
        <f>P9*Supuestos!$E$30+P10*Supuestos!$E$31+P11*Supuestos!$E$32</f>
        <v/>
      </c>
      <c r="Q16" s="13">
        <f>Q9*Supuestos!$E$30+Q10*Supuestos!$E$31+Q11*Supuestos!$E$32</f>
        <v/>
      </c>
      <c r="R16" s="13">
        <f>R9*Supuestos!$E$30+R10*Supuestos!$E$31+R11*Supuestos!$E$32</f>
        <v/>
      </c>
      <c r="S16" s="13">
        <f>S9*Supuestos!$E$30+S10*Supuestos!$E$31+S11*Supuestos!$E$32</f>
        <v/>
      </c>
      <c r="T16" s="13">
        <f>T9*Supuestos!$E$30+T10*Supuestos!$E$31+T11*Supuestos!$E$32</f>
        <v/>
      </c>
      <c r="U16" s="13">
        <f>U9*Supuestos!$E$30+U10*Supuestos!$E$31+U11*Supuestos!$E$32</f>
        <v/>
      </c>
      <c r="V16" s="13">
        <f>V9*Supuestos!$E$30+V10*Supuestos!$E$31+V11*Supuestos!$E$32</f>
        <v/>
      </c>
      <c r="W16" s="13">
        <f>W9*Supuestos!$E$30+W10*Supuestos!$E$31+W11*Supuestos!$E$32</f>
        <v/>
      </c>
      <c r="X16" s="13">
        <f>X9*Supuestos!$E$30+X10*Supuestos!$E$31+X11*Supuestos!$E$32</f>
        <v/>
      </c>
      <c r="Y16" s="13">
        <f>Y9*Supuestos!$E$30+Y10*Supuestos!$E$31+Y11*Supuestos!$E$32</f>
        <v/>
      </c>
      <c r="Z16" s="13">
        <f>Z9*Supuestos!$E$30+Z10*Supuestos!$E$31+Z11*Supuestos!$E$32</f>
        <v/>
      </c>
      <c r="AA16" s="13">
        <f>AA9*Supuestos!$E$30+AA10*Supuestos!$E$31+AA11*Supuestos!$E$32</f>
        <v/>
      </c>
      <c r="AB16" s="13">
        <f>AB9*Supuestos!$E$30+AB10*Supuestos!$E$31+AB11*Supuestos!$E$32</f>
        <v/>
      </c>
      <c r="AC16" s="13">
        <f>AC9*Supuestos!$E$30+AC10*Supuestos!$E$31+AC11*Supuestos!$E$32</f>
        <v/>
      </c>
      <c r="AD16" s="13">
        <f>AD9*Supuestos!$E$30+AD10*Supuestos!$E$31+AD11*Supuestos!$E$32</f>
        <v/>
      </c>
      <c r="AE16" s="13">
        <f>AE9*Supuestos!$E$30+AE10*Supuestos!$E$31+AE11*Supuestos!$E$32</f>
        <v/>
      </c>
      <c r="AF16" s="13">
        <f>AF9*Supuestos!$E$30+AF10*Supuestos!$E$31+AF11*Supuestos!$E$32</f>
        <v/>
      </c>
      <c r="AG16" s="13">
        <f>AG9*Supuestos!$E$30+AG10*Supuestos!$E$31+AG11*Supuestos!$E$32</f>
        <v/>
      </c>
      <c r="AH16" s="13">
        <f>AH9*Supuestos!$E$30+AH10*Supuestos!$E$31+AH11*Supuestos!$E$32</f>
        <v/>
      </c>
      <c r="AI16" s="13">
        <f>AI9*Supuestos!$E$30+AI10*Supuestos!$E$31+AI11*Supuestos!$E$32</f>
        <v/>
      </c>
      <c r="AJ16" s="13">
        <f>AJ9*Supuestos!$E$30+AJ10*Supuestos!$E$31+AJ11*Supuestos!$E$32</f>
        <v/>
      </c>
      <c r="AK16" s="13">
        <f>AK9*Supuestos!$E$30+AK10*Supuestos!$E$31+AK11*Supuestos!$E$32</f>
        <v/>
      </c>
      <c r="AL16" s="13">
        <f>AL9*Supuestos!$E$30+AL10*Supuestos!$E$31+AL11*Supuestos!$E$32</f>
        <v/>
      </c>
    </row>
    <row r="17">
      <c r="A17" s="8" t="inlineStr">
        <is>
          <t>Costos fijos</t>
        </is>
      </c>
      <c r="B17" s="13" t="n">
        <v>0</v>
      </c>
      <c r="C17" s="13">
        <f>Supuestos!$E$37+Supuestos!$E$38+Supuestos!$E$39+Supuestos!$E$40+Supuestos!$E$41+Supuestos!$E$42+Supuestos!$E$43+Supuestos!$E$44</f>
        <v/>
      </c>
      <c r="D17" s="13">
        <f>Supuestos!$E$37+Supuestos!$E$38+Supuestos!$E$39+Supuestos!$E$40+Supuestos!$E$41+Supuestos!$E$42+Supuestos!$E$43+Supuestos!$E$44</f>
        <v/>
      </c>
      <c r="E17" s="13">
        <f>Supuestos!$E$37+Supuestos!$E$38+Supuestos!$E$39+Supuestos!$E$40+Supuestos!$E$41+Supuestos!$E$42+Supuestos!$E$43+Supuestos!$E$44</f>
        <v/>
      </c>
      <c r="F17" s="13">
        <f>Supuestos!$E$37+Supuestos!$E$38+Supuestos!$E$39+Supuestos!$E$40+Supuestos!$E$41+Supuestos!$E$42+Supuestos!$E$43+Supuestos!$E$44</f>
        <v/>
      </c>
      <c r="G17" s="13">
        <f>Supuestos!$E$37+Supuestos!$E$38+Supuestos!$E$39+Supuestos!$E$40+Supuestos!$E$41+Supuestos!$E$42+Supuestos!$E$43+Supuestos!$E$44</f>
        <v/>
      </c>
      <c r="H17" s="13">
        <f>Supuestos!$E$37+Supuestos!$E$38+Supuestos!$E$39+Supuestos!$E$40+Supuestos!$E$41+Supuestos!$E$42+Supuestos!$E$43+Supuestos!$E$44</f>
        <v/>
      </c>
      <c r="I17" s="13">
        <f>Supuestos!$E$37+Supuestos!$E$38+Supuestos!$E$39+Supuestos!$E$40+Supuestos!$E$41+Supuestos!$E$42+Supuestos!$E$43+Supuestos!$E$44</f>
        <v/>
      </c>
      <c r="J17" s="13">
        <f>Supuestos!$E$37+Supuestos!$E$38+Supuestos!$E$39+Supuestos!$E$40+Supuestos!$E$41+Supuestos!$E$42+Supuestos!$E$43+Supuestos!$E$44</f>
        <v/>
      </c>
      <c r="K17" s="13">
        <f>Supuestos!$E$37+Supuestos!$E$38+Supuestos!$E$39+Supuestos!$E$40+Supuestos!$E$41+Supuestos!$E$42+Supuestos!$E$43+Supuestos!$E$44</f>
        <v/>
      </c>
      <c r="L17" s="13">
        <f>Supuestos!$E$37+Supuestos!$E$38+Supuestos!$E$39+Supuestos!$E$40+Supuestos!$E$41+Supuestos!$E$42+Supuestos!$E$43+Supuestos!$E$44</f>
        <v/>
      </c>
      <c r="M17" s="13">
        <f>Supuestos!$E$37+Supuestos!$E$38+Supuestos!$E$39+Supuestos!$E$40+Supuestos!$E$41+Supuestos!$E$42+Supuestos!$E$43+Supuestos!$E$44</f>
        <v/>
      </c>
      <c r="N17" s="13">
        <f>Supuestos!$E$37+Supuestos!$E$38+Supuestos!$E$39+Supuestos!$E$40+Supuestos!$E$41+Supuestos!$E$42+Supuestos!$E$43+Supuestos!$E$44</f>
        <v/>
      </c>
      <c r="O17" s="13">
        <f>Supuestos!$E$37+Supuestos!$E$38+Supuestos!$E$39+Supuestos!$E$40+Supuestos!$E$41+Supuestos!$E$42+Supuestos!$E$43+Supuestos!$E$44</f>
        <v/>
      </c>
      <c r="P17" s="13">
        <f>Supuestos!$E$37+Supuestos!$E$38+Supuestos!$E$39+Supuestos!$E$40+Supuestos!$E$41+Supuestos!$E$42+Supuestos!$E$43+Supuestos!$E$44</f>
        <v/>
      </c>
      <c r="Q17" s="13">
        <f>Supuestos!$E$37+Supuestos!$E$38+Supuestos!$E$39+Supuestos!$E$40+Supuestos!$E$41+Supuestos!$E$42+Supuestos!$E$43+Supuestos!$E$44</f>
        <v/>
      </c>
      <c r="R17" s="13">
        <f>Supuestos!$E$37+Supuestos!$E$38+Supuestos!$E$39+Supuestos!$E$40+Supuestos!$E$41+Supuestos!$E$42+Supuestos!$E$43+Supuestos!$E$44</f>
        <v/>
      </c>
      <c r="S17" s="13">
        <f>Supuestos!$E$37+Supuestos!$E$38+Supuestos!$E$39+Supuestos!$E$40+Supuestos!$E$41+Supuestos!$E$42+Supuestos!$E$43+Supuestos!$E$44</f>
        <v/>
      </c>
      <c r="T17" s="13">
        <f>Supuestos!$E$37+Supuestos!$E$38+Supuestos!$E$39+Supuestos!$E$40+Supuestos!$E$41+Supuestos!$E$42+Supuestos!$E$43+Supuestos!$E$44</f>
        <v/>
      </c>
      <c r="U17" s="13">
        <f>Supuestos!$E$37+Supuestos!$E$38+Supuestos!$E$39+Supuestos!$E$40+Supuestos!$E$41+Supuestos!$E$42+Supuestos!$E$43+Supuestos!$E$44</f>
        <v/>
      </c>
      <c r="V17" s="13">
        <f>Supuestos!$E$37+Supuestos!$E$38+Supuestos!$E$39+Supuestos!$E$40+Supuestos!$E$41+Supuestos!$E$42+Supuestos!$E$43+Supuestos!$E$44</f>
        <v/>
      </c>
      <c r="W17" s="13">
        <f>Supuestos!$E$37+Supuestos!$E$38+Supuestos!$E$39+Supuestos!$E$40+Supuestos!$E$41+Supuestos!$E$42+Supuestos!$E$43+Supuestos!$E$44</f>
        <v/>
      </c>
      <c r="X17" s="13">
        <f>Supuestos!$E$37+Supuestos!$E$38+Supuestos!$E$39+Supuestos!$E$40+Supuestos!$E$41+Supuestos!$E$42+Supuestos!$E$43+Supuestos!$E$44</f>
        <v/>
      </c>
      <c r="Y17" s="13">
        <f>Supuestos!$E$37+Supuestos!$E$38+Supuestos!$E$39+Supuestos!$E$40+Supuestos!$E$41+Supuestos!$E$42+Supuestos!$E$43+Supuestos!$E$44</f>
        <v/>
      </c>
      <c r="Z17" s="13">
        <f>Supuestos!$E$37+Supuestos!$E$38+Supuestos!$E$39+Supuestos!$E$40+Supuestos!$E$41+Supuestos!$E$42+Supuestos!$E$43+Supuestos!$E$44</f>
        <v/>
      </c>
      <c r="AA17" s="13">
        <f>Supuestos!$E$37+Supuestos!$E$38+Supuestos!$E$39+Supuestos!$E$40+Supuestos!$E$41+Supuestos!$E$42+Supuestos!$E$43+Supuestos!$E$44</f>
        <v/>
      </c>
      <c r="AB17" s="13">
        <f>Supuestos!$E$37+Supuestos!$E$38+Supuestos!$E$39+Supuestos!$E$40+Supuestos!$E$41+Supuestos!$E$42+Supuestos!$E$43+Supuestos!$E$44</f>
        <v/>
      </c>
      <c r="AC17" s="13">
        <f>Supuestos!$E$37+Supuestos!$E$38+Supuestos!$E$39+Supuestos!$E$40+Supuestos!$E$41+Supuestos!$E$42+Supuestos!$E$43+Supuestos!$E$44</f>
        <v/>
      </c>
      <c r="AD17" s="13">
        <f>Supuestos!$E$37+Supuestos!$E$38+Supuestos!$E$39+Supuestos!$E$40+Supuestos!$E$41+Supuestos!$E$42+Supuestos!$E$43+Supuestos!$E$44</f>
        <v/>
      </c>
      <c r="AE17" s="13">
        <f>Supuestos!$E$37+Supuestos!$E$38+Supuestos!$E$39+Supuestos!$E$40+Supuestos!$E$41+Supuestos!$E$42+Supuestos!$E$43+Supuestos!$E$44</f>
        <v/>
      </c>
      <c r="AF17" s="13">
        <f>Supuestos!$E$37+Supuestos!$E$38+Supuestos!$E$39+Supuestos!$E$40+Supuestos!$E$41+Supuestos!$E$42+Supuestos!$E$43+Supuestos!$E$44</f>
        <v/>
      </c>
      <c r="AG17" s="13">
        <f>Supuestos!$E$37+Supuestos!$E$38+Supuestos!$E$39+Supuestos!$E$40+Supuestos!$E$41+Supuestos!$E$42+Supuestos!$E$43+Supuestos!$E$44</f>
        <v/>
      </c>
      <c r="AH17" s="13">
        <f>Supuestos!$E$37+Supuestos!$E$38+Supuestos!$E$39+Supuestos!$E$40+Supuestos!$E$41+Supuestos!$E$42+Supuestos!$E$43+Supuestos!$E$44</f>
        <v/>
      </c>
      <c r="AI17" s="13">
        <f>Supuestos!$E$37+Supuestos!$E$38+Supuestos!$E$39+Supuestos!$E$40+Supuestos!$E$41+Supuestos!$E$42+Supuestos!$E$43+Supuestos!$E$44</f>
        <v/>
      </c>
      <c r="AJ17" s="13">
        <f>Supuestos!$E$37+Supuestos!$E$38+Supuestos!$E$39+Supuestos!$E$40+Supuestos!$E$41+Supuestos!$E$42+Supuestos!$E$43+Supuestos!$E$44</f>
        <v/>
      </c>
      <c r="AK17" s="13">
        <f>Supuestos!$E$37+Supuestos!$E$38+Supuestos!$E$39+Supuestos!$E$40+Supuestos!$E$41+Supuestos!$E$42+Supuestos!$E$43+Supuestos!$E$44</f>
        <v/>
      </c>
      <c r="AL17" s="13">
        <f>Supuestos!$E$37+Supuestos!$E$38+Supuestos!$E$39+Supuestos!$E$40+Supuestos!$E$41+Supuestos!$E$42+Supuestos!$E$43+Supuestos!$E$44</f>
        <v/>
      </c>
    </row>
    <row r="18">
      <c r="A18" s="5" t="inlineStr">
        <is>
          <t>Resultado operativo (antes de impuestos)</t>
        </is>
      </c>
      <c r="B18" s="11" t="n">
        <v>0</v>
      </c>
      <c r="C18" s="11">
        <f>C8-C15-C16-C17</f>
        <v/>
      </c>
      <c r="D18" s="11">
        <f>D8-D15-D16-D17</f>
        <v/>
      </c>
      <c r="E18" s="11">
        <f>E8-E15-E16-E17</f>
        <v/>
      </c>
      <c r="F18" s="11">
        <f>F8-F15-F16-F17</f>
        <v/>
      </c>
      <c r="G18" s="11">
        <f>G8-G15-G16-G17</f>
        <v/>
      </c>
      <c r="H18" s="11">
        <f>H8-H15-H16-H17</f>
        <v/>
      </c>
      <c r="I18" s="11">
        <f>I8-I15-I16-I17</f>
        <v/>
      </c>
      <c r="J18" s="11">
        <f>J8-J15-J16-J17</f>
        <v/>
      </c>
      <c r="K18" s="11">
        <f>K8-K15-K16-K17</f>
        <v/>
      </c>
      <c r="L18" s="11">
        <f>L8-L15-L16-L17</f>
        <v/>
      </c>
      <c r="M18" s="11">
        <f>M8-M15-M16-M17</f>
        <v/>
      </c>
      <c r="N18" s="11">
        <f>N8-N15-N16-N17</f>
        <v/>
      </c>
      <c r="O18" s="11">
        <f>O8-O15-O16-O17</f>
        <v/>
      </c>
      <c r="P18" s="11">
        <f>P8-P15-P16-P17</f>
        <v/>
      </c>
      <c r="Q18" s="11">
        <f>Q8-Q15-Q16-Q17</f>
        <v/>
      </c>
      <c r="R18" s="11">
        <f>R8-R15-R16-R17</f>
        <v/>
      </c>
      <c r="S18" s="11">
        <f>S8-S15-S16-S17</f>
        <v/>
      </c>
      <c r="T18" s="11">
        <f>T8-T15-T16-T17</f>
        <v/>
      </c>
      <c r="U18" s="11">
        <f>U8-U15-U16-U17</f>
        <v/>
      </c>
      <c r="V18" s="11">
        <f>V8-V15-V16-V17</f>
        <v/>
      </c>
      <c r="W18" s="11">
        <f>W8-W15-W16-W17</f>
        <v/>
      </c>
      <c r="X18" s="11">
        <f>X8-X15-X16-X17</f>
        <v/>
      </c>
      <c r="Y18" s="11">
        <f>Y8-Y15-Y16-Y17</f>
        <v/>
      </c>
      <c r="Z18" s="11">
        <f>Z8-Z15-Z16-Z17</f>
        <v/>
      </c>
      <c r="AA18" s="11">
        <f>AA8-AA15-AA16-AA17</f>
        <v/>
      </c>
      <c r="AB18" s="11">
        <f>AB8-AB15-AB16-AB17</f>
        <v/>
      </c>
      <c r="AC18" s="11">
        <f>AC8-AC15-AC16-AC17</f>
        <v/>
      </c>
      <c r="AD18" s="11">
        <f>AD8-AD15-AD16-AD17</f>
        <v/>
      </c>
      <c r="AE18" s="11">
        <f>AE8-AE15-AE16-AE17</f>
        <v/>
      </c>
      <c r="AF18" s="11">
        <f>AF8-AF15-AF16-AF17</f>
        <v/>
      </c>
      <c r="AG18" s="11">
        <f>AG8-AG15-AG16-AG17</f>
        <v/>
      </c>
      <c r="AH18" s="11">
        <f>AH8-AH15-AH16-AH17</f>
        <v/>
      </c>
      <c r="AI18" s="11">
        <f>AI8-AI15-AI16-AI17</f>
        <v/>
      </c>
      <c r="AJ18" s="11">
        <f>AJ8-AJ15-AJ16-AJ17</f>
        <v/>
      </c>
      <c r="AK18" s="11">
        <f>AK8-AK15-AK16-AK17</f>
        <v/>
      </c>
      <c r="AL18" s="11">
        <f>AL8-AL15-AL16-AL17</f>
        <v/>
      </c>
    </row>
    <row r="19">
      <c r="A19" s="8" t="inlineStr">
        <is>
          <t>Impuestos y participación</t>
        </is>
      </c>
      <c r="B19" s="13" t="n">
        <v>0</v>
      </c>
      <c r="C19" s="13">
        <f>MAX(0,C18)*Supuestos!$E$47</f>
        <v/>
      </c>
      <c r="D19" s="13">
        <f>MAX(0,D18)*Supuestos!$E$47</f>
        <v/>
      </c>
      <c r="E19" s="13">
        <f>MAX(0,E18)*Supuestos!$E$47</f>
        <v/>
      </c>
      <c r="F19" s="13">
        <f>MAX(0,F18)*Supuestos!$E$47</f>
        <v/>
      </c>
      <c r="G19" s="13">
        <f>MAX(0,G18)*Supuestos!$E$47</f>
        <v/>
      </c>
      <c r="H19" s="13">
        <f>MAX(0,H18)*Supuestos!$E$47</f>
        <v/>
      </c>
      <c r="I19" s="13">
        <f>MAX(0,I18)*Supuestos!$E$47</f>
        <v/>
      </c>
      <c r="J19" s="13">
        <f>MAX(0,J18)*Supuestos!$E$47</f>
        <v/>
      </c>
      <c r="K19" s="13">
        <f>MAX(0,K18)*Supuestos!$E$47</f>
        <v/>
      </c>
      <c r="L19" s="13">
        <f>MAX(0,L18)*Supuestos!$E$47</f>
        <v/>
      </c>
      <c r="M19" s="13">
        <f>MAX(0,M18)*Supuestos!$E$47</f>
        <v/>
      </c>
      <c r="N19" s="13">
        <f>MAX(0,N18)*Supuestos!$E$47</f>
        <v/>
      </c>
      <c r="O19" s="13">
        <f>MAX(0,O18)*Supuestos!$E$47</f>
        <v/>
      </c>
      <c r="P19" s="13">
        <f>MAX(0,P18)*Supuestos!$E$47</f>
        <v/>
      </c>
      <c r="Q19" s="13">
        <f>MAX(0,Q18)*Supuestos!$E$47</f>
        <v/>
      </c>
      <c r="R19" s="13">
        <f>MAX(0,R18)*Supuestos!$E$47</f>
        <v/>
      </c>
      <c r="S19" s="13">
        <f>MAX(0,S18)*Supuestos!$E$47</f>
        <v/>
      </c>
      <c r="T19" s="13">
        <f>MAX(0,T18)*Supuestos!$E$47</f>
        <v/>
      </c>
      <c r="U19" s="13">
        <f>MAX(0,U18)*Supuestos!$E$47</f>
        <v/>
      </c>
      <c r="V19" s="13">
        <f>MAX(0,V18)*Supuestos!$E$47</f>
        <v/>
      </c>
      <c r="W19" s="13">
        <f>MAX(0,W18)*Supuestos!$E$47</f>
        <v/>
      </c>
      <c r="X19" s="13">
        <f>MAX(0,X18)*Supuestos!$E$47</f>
        <v/>
      </c>
      <c r="Y19" s="13">
        <f>MAX(0,Y18)*Supuestos!$E$47</f>
        <v/>
      </c>
      <c r="Z19" s="13">
        <f>MAX(0,Z18)*Supuestos!$E$47</f>
        <v/>
      </c>
      <c r="AA19" s="13">
        <f>MAX(0,AA18)*Supuestos!$E$47</f>
        <v/>
      </c>
      <c r="AB19" s="13">
        <f>MAX(0,AB18)*Supuestos!$E$47</f>
        <v/>
      </c>
      <c r="AC19" s="13">
        <f>MAX(0,AC18)*Supuestos!$E$47</f>
        <v/>
      </c>
      <c r="AD19" s="13">
        <f>MAX(0,AD18)*Supuestos!$E$47</f>
        <v/>
      </c>
      <c r="AE19" s="13">
        <f>MAX(0,AE18)*Supuestos!$E$47</f>
        <v/>
      </c>
      <c r="AF19" s="13">
        <f>MAX(0,AF18)*Supuestos!$E$47</f>
        <v/>
      </c>
      <c r="AG19" s="13">
        <f>MAX(0,AG18)*Supuestos!$E$47</f>
        <v/>
      </c>
      <c r="AH19" s="13">
        <f>MAX(0,AH18)*Supuestos!$E$47</f>
        <v/>
      </c>
      <c r="AI19" s="13">
        <f>MAX(0,AI18)*Supuestos!$E$47</f>
        <v/>
      </c>
      <c r="AJ19" s="13">
        <f>MAX(0,AJ18)*Supuestos!$E$47</f>
        <v/>
      </c>
      <c r="AK19" s="13">
        <f>MAX(0,AK18)*Supuestos!$E$47</f>
        <v/>
      </c>
      <c r="AL19" s="13">
        <f>MAX(0,AL18)*Supuestos!$E$47</f>
        <v/>
      </c>
    </row>
    <row r="20">
      <c r="A20" s="5" t="inlineStr">
        <is>
          <t>Flujo de caja neto</t>
        </is>
      </c>
      <c r="B20" s="11">
        <f>-Supuestos!$E$46</f>
        <v/>
      </c>
      <c r="C20" s="11">
        <f>C18-C19</f>
        <v/>
      </c>
      <c r="D20" s="11">
        <f>D18-D19</f>
        <v/>
      </c>
      <c r="E20" s="11">
        <f>E18-E19</f>
        <v/>
      </c>
      <c r="F20" s="11">
        <f>F18-F19</f>
        <v/>
      </c>
      <c r="G20" s="11">
        <f>G18-G19</f>
        <v/>
      </c>
      <c r="H20" s="11">
        <f>H18-H19</f>
        <v/>
      </c>
      <c r="I20" s="11">
        <f>I18-I19</f>
        <v/>
      </c>
      <c r="J20" s="11">
        <f>J18-J19</f>
        <v/>
      </c>
      <c r="K20" s="11">
        <f>K18-K19</f>
        <v/>
      </c>
      <c r="L20" s="11">
        <f>L18-L19</f>
        <v/>
      </c>
      <c r="M20" s="11">
        <f>M18-M19</f>
        <v/>
      </c>
      <c r="N20" s="11">
        <f>N18-N19</f>
        <v/>
      </c>
      <c r="O20" s="11">
        <f>O18-O19</f>
        <v/>
      </c>
      <c r="P20" s="11">
        <f>P18-P19</f>
        <v/>
      </c>
      <c r="Q20" s="11">
        <f>Q18-Q19</f>
        <v/>
      </c>
      <c r="R20" s="11">
        <f>R18-R19</f>
        <v/>
      </c>
      <c r="S20" s="11">
        <f>S18-S19</f>
        <v/>
      </c>
      <c r="T20" s="11">
        <f>T18-T19</f>
        <v/>
      </c>
      <c r="U20" s="11">
        <f>U18-U19</f>
        <v/>
      </c>
      <c r="V20" s="11">
        <f>V18-V19</f>
        <v/>
      </c>
      <c r="W20" s="11">
        <f>W18-W19</f>
        <v/>
      </c>
      <c r="X20" s="11">
        <f>X18-X19</f>
        <v/>
      </c>
      <c r="Y20" s="11">
        <f>Y18-Y19</f>
        <v/>
      </c>
      <c r="Z20" s="11">
        <f>Z18-Z19</f>
        <v/>
      </c>
      <c r="AA20" s="11">
        <f>AA18-AA19</f>
        <v/>
      </c>
      <c r="AB20" s="11">
        <f>AB18-AB19</f>
        <v/>
      </c>
      <c r="AC20" s="11">
        <f>AC18-AC19</f>
        <v/>
      </c>
      <c r="AD20" s="11">
        <f>AD18-AD19</f>
        <v/>
      </c>
      <c r="AE20" s="11">
        <f>AE18-AE19</f>
        <v/>
      </c>
      <c r="AF20" s="11">
        <f>AF18-AF19</f>
        <v/>
      </c>
      <c r="AG20" s="11">
        <f>AG18-AG19</f>
        <v/>
      </c>
      <c r="AH20" s="11">
        <f>AH18-AH19</f>
        <v/>
      </c>
      <c r="AI20" s="11">
        <f>AI18-AI19</f>
        <v/>
      </c>
      <c r="AJ20" s="11">
        <f>AJ18-AJ19</f>
        <v/>
      </c>
      <c r="AK20" s="11">
        <f>AK18-AK19</f>
        <v/>
      </c>
      <c r="AL20" s="11">
        <f>AL18-AL19</f>
        <v/>
      </c>
    </row>
    <row r="21">
      <c r="A21" s="5" t="inlineStr">
        <is>
          <t>Flujo acumulado</t>
        </is>
      </c>
      <c r="B21" s="11">
        <f>B20</f>
        <v/>
      </c>
      <c r="C21" s="11">
        <f>B21+C20</f>
        <v/>
      </c>
      <c r="D21" s="11">
        <f>C21+D20</f>
        <v/>
      </c>
      <c r="E21" s="11">
        <f>D21+E20</f>
        <v/>
      </c>
      <c r="F21" s="11">
        <f>E21+F20</f>
        <v/>
      </c>
      <c r="G21" s="11">
        <f>F21+G20</f>
        <v/>
      </c>
      <c r="H21" s="11">
        <f>G21+H20</f>
        <v/>
      </c>
      <c r="I21" s="11">
        <f>H21+I20</f>
        <v/>
      </c>
      <c r="J21" s="11">
        <f>I21+J20</f>
        <v/>
      </c>
      <c r="K21" s="11">
        <f>J21+K20</f>
        <v/>
      </c>
      <c r="L21" s="11">
        <f>K21+L20</f>
        <v/>
      </c>
      <c r="M21" s="11">
        <f>L21+M20</f>
        <v/>
      </c>
      <c r="N21" s="11">
        <f>M21+N20</f>
        <v/>
      </c>
      <c r="O21" s="11">
        <f>N21+O20</f>
        <v/>
      </c>
      <c r="P21" s="11">
        <f>O21+P20</f>
        <v/>
      </c>
      <c r="Q21" s="11">
        <f>P21+Q20</f>
        <v/>
      </c>
      <c r="R21" s="11">
        <f>Q21+R20</f>
        <v/>
      </c>
      <c r="S21" s="11">
        <f>R21+S20</f>
        <v/>
      </c>
      <c r="T21" s="11">
        <f>S21+T20</f>
        <v/>
      </c>
      <c r="U21" s="11">
        <f>T21+U20</f>
        <v/>
      </c>
      <c r="V21" s="11">
        <f>U21+V20</f>
        <v/>
      </c>
      <c r="W21" s="11">
        <f>V21+W20</f>
        <v/>
      </c>
      <c r="X21" s="11">
        <f>W21+X20</f>
        <v/>
      </c>
      <c r="Y21" s="11">
        <f>X21+Y20</f>
        <v/>
      </c>
      <c r="Z21" s="11">
        <f>Y21+Z20</f>
        <v/>
      </c>
      <c r="AA21" s="11">
        <f>Z21+AA20</f>
        <v/>
      </c>
      <c r="AB21" s="11">
        <f>AA21+AB20</f>
        <v/>
      </c>
      <c r="AC21" s="11">
        <f>AB21+AC20</f>
        <v/>
      </c>
      <c r="AD21" s="11">
        <f>AC21+AD20</f>
        <v/>
      </c>
      <c r="AE21" s="11">
        <f>AD21+AE20</f>
        <v/>
      </c>
      <c r="AF21" s="11">
        <f>AE21+AF20</f>
        <v/>
      </c>
      <c r="AG21" s="11">
        <f>AF21+AG20</f>
        <v/>
      </c>
      <c r="AH21" s="11">
        <f>AG21+AH20</f>
        <v/>
      </c>
      <c r="AI21" s="11">
        <f>AH21+AI20</f>
        <v/>
      </c>
      <c r="AJ21" s="11">
        <f>AI21+AJ20</f>
        <v/>
      </c>
      <c r="AK21" s="11">
        <f>AJ21+AK20</f>
        <v/>
      </c>
      <c r="AL21" s="11">
        <f>AK21+AL20</f>
        <v/>
      </c>
    </row>
    <row r="22">
      <c r="A22" s="8" t="inlineStr">
        <is>
          <t>Marca de recupero</t>
        </is>
      </c>
      <c r="B22" s="42">
        <f>""</f>
        <v/>
      </c>
      <c r="C22" s="42">
        <f>IF(AND(C21&gt;=0,B21&lt;0),C$3,"")</f>
        <v/>
      </c>
      <c r="D22" s="42">
        <f>IF(AND(D21&gt;=0,C21&lt;0),D$3,"")</f>
        <v/>
      </c>
      <c r="E22" s="42">
        <f>IF(AND(E21&gt;=0,D21&lt;0),E$3,"")</f>
        <v/>
      </c>
      <c r="F22" s="42">
        <f>IF(AND(F21&gt;=0,E21&lt;0),F$3,"")</f>
        <v/>
      </c>
      <c r="G22" s="42">
        <f>IF(AND(G21&gt;=0,F21&lt;0),G$3,"")</f>
        <v/>
      </c>
      <c r="H22" s="42">
        <f>IF(AND(H21&gt;=0,G21&lt;0),H$3,"")</f>
        <v/>
      </c>
      <c r="I22" s="42">
        <f>IF(AND(I21&gt;=0,H21&lt;0),I$3,"")</f>
        <v/>
      </c>
      <c r="J22" s="42">
        <f>IF(AND(J21&gt;=0,I21&lt;0),J$3,"")</f>
        <v/>
      </c>
      <c r="K22" s="42">
        <f>IF(AND(K21&gt;=0,J21&lt;0),K$3,"")</f>
        <v/>
      </c>
      <c r="L22" s="42">
        <f>IF(AND(L21&gt;=0,K21&lt;0),L$3,"")</f>
        <v/>
      </c>
      <c r="M22" s="42">
        <f>IF(AND(M21&gt;=0,L21&lt;0),M$3,"")</f>
        <v/>
      </c>
      <c r="N22" s="42">
        <f>IF(AND(N21&gt;=0,M21&lt;0),N$3,"")</f>
        <v/>
      </c>
      <c r="O22" s="42">
        <f>IF(AND(O21&gt;=0,N21&lt;0),O$3,"")</f>
        <v/>
      </c>
      <c r="P22" s="42">
        <f>IF(AND(P21&gt;=0,O21&lt;0),P$3,"")</f>
        <v/>
      </c>
      <c r="Q22" s="42">
        <f>IF(AND(Q21&gt;=0,P21&lt;0),Q$3,"")</f>
        <v/>
      </c>
      <c r="R22" s="42">
        <f>IF(AND(R21&gt;=0,Q21&lt;0),R$3,"")</f>
        <v/>
      </c>
      <c r="S22" s="42">
        <f>IF(AND(S21&gt;=0,R21&lt;0),S$3,"")</f>
        <v/>
      </c>
      <c r="T22" s="42">
        <f>IF(AND(T21&gt;=0,S21&lt;0),T$3,"")</f>
        <v/>
      </c>
      <c r="U22" s="42">
        <f>IF(AND(U21&gt;=0,T21&lt;0),U$3,"")</f>
        <v/>
      </c>
      <c r="V22" s="42">
        <f>IF(AND(V21&gt;=0,U21&lt;0),V$3,"")</f>
        <v/>
      </c>
      <c r="W22" s="42">
        <f>IF(AND(W21&gt;=0,V21&lt;0),W$3,"")</f>
        <v/>
      </c>
      <c r="X22" s="42">
        <f>IF(AND(X21&gt;=0,W21&lt;0),X$3,"")</f>
        <v/>
      </c>
      <c r="Y22" s="42">
        <f>IF(AND(Y21&gt;=0,X21&lt;0),Y$3,"")</f>
        <v/>
      </c>
      <c r="Z22" s="42">
        <f>IF(AND(Z21&gt;=0,Y21&lt;0),Z$3,"")</f>
        <v/>
      </c>
      <c r="AA22" s="42">
        <f>IF(AND(AA21&gt;=0,Z21&lt;0),AA$3,"")</f>
        <v/>
      </c>
      <c r="AB22" s="42">
        <f>IF(AND(AB21&gt;=0,AA21&lt;0),AB$3,"")</f>
        <v/>
      </c>
      <c r="AC22" s="42">
        <f>IF(AND(AC21&gt;=0,AB21&lt;0),AC$3,"")</f>
        <v/>
      </c>
      <c r="AD22" s="42">
        <f>IF(AND(AD21&gt;=0,AC21&lt;0),AD$3,"")</f>
        <v/>
      </c>
      <c r="AE22" s="42">
        <f>IF(AND(AE21&gt;=0,AD21&lt;0),AE$3,"")</f>
        <v/>
      </c>
      <c r="AF22" s="42">
        <f>IF(AND(AF21&gt;=0,AE21&lt;0),AF$3,"")</f>
        <v/>
      </c>
      <c r="AG22" s="42">
        <f>IF(AND(AG21&gt;=0,AF21&lt;0),AG$3,"")</f>
        <v/>
      </c>
      <c r="AH22" s="42">
        <f>IF(AND(AH21&gt;=0,AG21&lt;0),AH$3,"")</f>
        <v/>
      </c>
      <c r="AI22" s="42">
        <f>IF(AND(AI21&gt;=0,AH21&lt;0),AI$3,"")</f>
        <v/>
      </c>
      <c r="AJ22" s="42">
        <f>IF(AND(AJ21&gt;=0,AI21&lt;0),AJ$3,"")</f>
        <v/>
      </c>
      <c r="AK22" s="42">
        <f>IF(AND(AK21&gt;=0,AJ21&lt;0),AK$3,"")</f>
        <v/>
      </c>
      <c r="AL22" s="42">
        <f>IF(AND(AL21&gt;=0,AK21&lt;0),AL$3,"")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2026-10-07T22:19:56Z</dcterms:created>
  <dcterms:modified xsi:type="dcterms:W3CDTF">2026-10-07T22:29:11Z</dcterms:modified>
</cp:coreProperties>
</file>