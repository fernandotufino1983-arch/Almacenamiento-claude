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Supuestos" sheetId="2" state="visible" r:id="rId2"/>
    <sheet name="Flujo 36 mes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;(0.0%);-"/>
    <numFmt numFmtId="165" formatCode="$#,##0;($#,##0);-"/>
    <numFmt numFmtId="166" formatCode="#,##0;(#,##0);-"/>
    <numFmt numFmtId="167" formatCode="#,##0.0;(#,##0.0);-"/>
    <numFmt numFmtId="168" formatCode="$#,##0.00;($#,##0.00);-"/>
    <numFmt numFmtId="169" formatCode="0.0&quot;x&quot;"/>
    <numFmt numFmtId="170" formatCode="0.00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</font>
    <font>
      <name val="Arial"/>
      <i val="1"/>
      <color rgb="00595959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49" fontId="3" fillId="0" borderId="0" pivotButton="0" quotePrefix="0" xfId="0"/>
    <xf numFmtId="0" fontId="7" fillId="0" borderId="0" pivotButton="0" quotePrefix="0" xfId="0"/>
    <xf numFmtId="0" fontId="6" fillId="0" borderId="0" pivotButton="0" quotePrefix="0" xfId="0"/>
    <xf numFmtId="10" fontId="6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4" fontId="6" fillId="0" borderId="0" pivotButton="0" quotePrefix="0" xfId="0"/>
    <xf numFmtId="168" fontId="6" fillId="0" borderId="0" pivotButton="0" quotePrefix="0" xfId="0"/>
    <xf numFmtId="167" fontId="3" fillId="0" borderId="0" pivotButton="0" quotePrefix="0" xfId="0"/>
    <xf numFmtId="166" fontId="3" fillId="0" borderId="0" pivotButton="0" quotePrefix="0" xfId="0"/>
    <xf numFmtId="169" fontId="6" fillId="0" borderId="0" pivotButton="0" quotePrefix="0" xfId="0"/>
    <xf numFmtId="169" fontId="4" fillId="0" borderId="0" pivotButton="0" quotePrefix="0" xfId="0"/>
    <xf numFmtId="165" fontId="4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center"/>
    </xf>
    <xf numFmtId="0" fontId="8" fillId="0" borderId="0" applyAlignment="1" pivotButton="0" quotePrefix="0" xfId="0">
      <alignment vertical="top" wrapText="1"/>
    </xf>
    <xf numFmtId="0" fontId="4" fillId="2" borderId="0" pivotButton="0" quotePrefix="0" xfId="0"/>
    <xf numFmtId="0" fontId="3" fillId="4" borderId="0" pivotButton="0" quotePrefix="0" xfId="0"/>
    <xf numFmtId="0" fontId="0" fillId="4" borderId="0" pivotButton="0" quotePrefix="0" xfId="0"/>
    <xf numFmtId="166" fontId="4" fillId="2" borderId="0" pivotButton="0" quotePrefix="0" xfId="0"/>
    <xf numFmtId="165" fontId="4" fillId="2" borderId="0" pivotButton="0" quotePrefix="0" xfId="0"/>
    <xf numFmtId="168" fontId="4" fillId="2" borderId="0" pivotButton="0" quotePrefix="0" xfId="0"/>
    <xf numFmtId="168" fontId="3" fillId="0" borderId="0" pivotButton="0" quotePrefix="0" xfId="0"/>
    <xf numFmtId="164" fontId="4" fillId="2" borderId="0" pivotButton="0" quotePrefix="0" xfId="0"/>
    <xf numFmtId="165" fontId="4" fillId="0" borderId="0" pivotButton="0" quotePrefix="0" xfId="0"/>
    <xf numFmtId="164" fontId="4" fillId="0" borderId="0" pivotButton="0" quotePrefix="0" xfId="0"/>
    <xf numFmtId="167" fontId="4" fillId="2" borderId="0" pivotButton="0" quotePrefix="0" xfId="0"/>
    <xf numFmtId="166" fontId="4" fillId="0" borderId="0" pivotButton="0" quotePrefix="0" xfId="0"/>
    <xf numFmtId="170" fontId="4" fillId="2" borderId="0" pivotButton="0" quotePrefix="0" xfId="0"/>
    <xf numFmtId="170" fontId="3" fillId="0" borderId="0" pivotButton="0" quotePrefix="0" xfId="0"/>
    <xf numFmtId="2" fontId="4" fillId="2" borderId="0" pivotButton="0" quotePrefix="0" xfId="0"/>
    <xf numFmtId="2" fontId="3" fillId="0" borderId="0" pivotButton="0" quotePrefix="0" xfId="0"/>
    <xf numFmtId="167" fontId="4" fillId="0" borderId="0" pivotButton="0" quotePrefix="0" xfId="0"/>
    <xf numFmtId="2" fontId="4" fillId="0" borderId="0" pivotButton="0" quotePrefix="0" xfId="0"/>
    <xf numFmtId="0" fontId="5" fillId="3" borderId="0" applyAlignment="1" pivotButton="0" quotePrefix="0" xfId="0">
      <alignment horizontal="center"/>
    </xf>
    <xf numFmtId="170" fontId="6" fillId="0" borderId="0" pivotButton="0" quotePrefix="0" xfId="0"/>
    <xf numFmtId="164" fontId="3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4" fontId="6" fillId="0" borderId="0" pivotButton="0" quotePrefix="0" xfId="0"/>
    <xf numFmtId="168" fontId="6" fillId="0" borderId="0" pivotButton="0" quotePrefix="0" xfId="0"/>
    <xf numFmtId="167" fontId="3" fillId="0" borderId="0" pivotButton="0" quotePrefix="0" xfId="0"/>
    <xf numFmtId="166" fontId="3" fillId="0" borderId="0" pivotButton="0" quotePrefix="0" xfId="0"/>
    <xf numFmtId="169" fontId="6" fillId="0" borderId="0" pivotButton="0" quotePrefix="0" xfId="0"/>
    <xf numFmtId="169" fontId="4" fillId="0" borderId="0" pivotButton="0" quotePrefix="0" xfId="0"/>
    <xf numFmtId="167" fontId="0" fillId="0" borderId="0" applyAlignment="1" pivotButton="0" quotePrefix="0" xfId="0">
      <alignment horizontal="center"/>
    </xf>
    <xf numFmtId="166" fontId="4" fillId="2" borderId="0" pivotButton="0" quotePrefix="0" xfId="0"/>
    <xf numFmtId="168" fontId="4" fillId="2" borderId="0" pivotButton="0" quotePrefix="0" xfId="0"/>
    <xf numFmtId="168" fontId="3" fillId="0" borderId="0" pivotButton="0" quotePrefix="0" xfId="0"/>
    <xf numFmtId="164" fontId="4" fillId="2" borderId="0" pivotButton="0" quotePrefix="0" xfId="0"/>
    <xf numFmtId="164" fontId="4" fillId="0" borderId="0" pivotButton="0" quotePrefix="0" xfId="0"/>
    <xf numFmtId="167" fontId="4" fillId="2" borderId="0" pivotButton="0" quotePrefix="0" xfId="0"/>
    <xf numFmtId="166" fontId="4" fillId="0" borderId="0" pivotButton="0" quotePrefix="0" xfId="0"/>
    <xf numFmtId="170" fontId="4" fillId="2" borderId="0" pivotButton="0" quotePrefix="0" xfId="0"/>
    <xf numFmtId="170" fontId="3" fillId="0" borderId="0" pivotButton="0" quotePrefix="0" xfId="0"/>
    <xf numFmtId="167" fontId="4" fillId="0" borderId="0" pivotButton="0" quotePrefix="0" xfId="0"/>
    <xf numFmtId="17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Resumen financiero — Plan de Asistencia Legal a Cooperativas de Transporte</t>
        </is>
      </c>
    </row>
    <row r="2">
      <c r="A2" s="2" t="inlineStr">
        <is>
          <t>Cambie el escenario en Supuestos!B4. Todos los valores se recalculan.</t>
        </is>
      </c>
    </row>
    <row r="4">
      <c r="A4" s="3" t="inlineStr">
        <is>
          <t>Rentabilidad del proyecto (36 meses, después de impuestos)</t>
        </is>
      </c>
      <c r="B4" s="4" t="n"/>
      <c r="C4" s="4" t="n"/>
    </row>
    <row r="5">
      <c r="A5" s="5" t="inlineStr">
        <is>
          <t>Escenario activo</t>
        </is>
      </c>
      <c r="B5" s="6">
        <f>INDEX(Supuestos!B6:D6,1,Supuestos!B4)</f>
        <v/>
      </c>
      <c r="C5" s="7" t="inlineStr"/>
    </row>
    <row r="6">
      <c r="A6" s="8" t="inlineStr">
        <is>
          <t>TIR mensual</t>
        </is>
      </c>
      <c r="B6" s="9">
        <f>IFERROR(IRR('Flujo 36 meses'!B22:AL22),"No hay TIR (no recupera)")</f>
        <v/>
      </c>
      <c r="C6" s="7" t="inlineStr"/>
    </row>
    <row r="7">
      <c r="A7" s="5" t="inlineStr">
        <is>
          <t>TIR anual equivalente</t>
        </is>
      </c>
      <c r="B7" s="44">
        <f>IFERROR((1+B6)^12-1,"No hay TIR")</f>
        <v/>
      </c>
      <c r="C7" s="7" t="inlineStr">
        <is>
          <t>comparar contra la tasa de descuento</t>
        </is>
      </c>
    </row>
    <row r="8">
      <c r="A8" s="5" t="inlineStr">
        <is>
          <t>VAN al costo de oportunidad</t>
        </is>
      </c>
      <c r="B8" s="11">
        <f>'Flujo 36 meses'!B22+NPV((1+Supuestos!$E$60)^(1/12)-1,'Flujo 36 meses'!C22:AL22)</f>
        <v/>
      </c>
      <c r="C8" s="7" t="inlineStr">
        <is>
          <t>&gt; 0 significa que crea valor</t>
        </is>
      </c>
    </row>
    <row r="9">
      <c r="A9" s="8" t="inlineStr">
        <is>
          <t>Mes de recupero de la inversión</t>
        </is>
      </c>
      <c r="B9" s="45">
        <f>IF(COUNT('Flujo 36 meses'!C24:AL24)=0,"No recupera en 36 meses",MIN('Flujo 36 meses'!C24:AL24))</f>
        <v/>
      </c>
      <c r="C9" s="7" t="inlineStr"/>
    </row>
    <row r="10">
      <c r="A10" s="8" t="inlineStr">
        <is>
          <t>Peor caja acumulada (capital de trabajo necesario)</t>
        </is>
      </c>
      <c r="B10" s="13">
        <f>MIN('Flujo 36 meses'!B23:AL23)</f>
        <v/>
      </c>
      <c r="C10" s="7" t="inlineStr">
        <is>
          <t>plata que hay que tener disponible antes de que el plan se pague solo</t>
        </is>
      </c>
    </row>
    <row r="11">
      <c r="A11" s="8" t="inlineStr">
        <is>
          <t>Flujo acumulado al mes 36</t>
        </is>
      </c>
      <c r="B11" s="13">
        <f>'Flujo 36 meses'!AL23</f>
        <v/>
      </c>
      <c r="C11" s="7" t="inlineStr"/>
    </row>
    <row r="12">
      <c r="A12" s="8" t="inlineStr">
        <is>
          <t>Cooperativas activas al mes 36</t>
        </is>
      </c>
      <c r="B12" s="46">
        <f>'Flujo 36 meses'!AL4</f>
        <v/>
      </c>
      <c r="C12" s="7" t="inlineStr"/>
    </row>
    <row r="13">
      <c r="A13" s="8" t="inlineStr">
        <is>
          <t>Ingreso cobrado mes 36 (cuotas + honorarios por caso)</t>
        </is>
      </c>
      <c r="B13" s="13">
        <f>'Flujo 36 meses'!AL8+'Flujo 36 meses'!AL9</f>
        <v/>
      </c>
      <c r="C13" s="7" t="inlineStr"/>
    </row>
    <row r="14">
      <c r="A14" s="8" t="inlineStr">
        <is>
          <t>Margen operativo mes 36</t>
        </is>
      </c>
      <c r="B14" s="47">
        <f>IFERROR('Flujo 36 meses'!AL20/B13,0)</f>
        <v/>
      </c>
      <c r="C14" s="7" t="inlineStr"/>
    </row>
    <row r="16">
      <c r="A16" s="3" t="inlineStr">
        <is>
          <t>Punto de equilibrio (régimen estable, antes de impuestos)</t>
        </is>
      </c>
      <c r="B16" s="4" t="n"/>
      <c r="C16" s="4" t="n"/>
    </row>
    <row r="17">
      <c r="A17" s="8" t="inlineStr">
        <is>
          <t>Cuotas cobradas por cooperativa (mensual)</t>
        </is>
      </c>
      <c r="B17" s="13">
        <f>(Supuestos!$E$9+Supuestos!$E$8*Supuestos!$E$10)*(1-Supuestos!$E$22*Supuestos!$E$23)*(1-Supuestos!$E$24)</f>
        <v/>
      </c>
      <c r="C17" s="7" t="inlineStr"/>
    </row>
    <row r="18">
      <c r="A18" s="8" t="inlineStr">
        <is>
          <t>Honorarios por siniestro cobrados por cooperativa (mensual)</t>
        </is>
      </c>
      <c r="B18" s="13">
        <f>Supuestos!$E$8*(Supuestos!$E$29*Supuestos!$E$12+Supuestos!$E$30*Supuestos!$E$13+Supuestos!$E$31*Supuestos!$E$14)/12*Supuestos!$E$15</f>
        <v/>
      </c>
      <c r="C18" s="7" t="inlineStr"/>
    </row>
    <row r="19">
      <c r="A19" s="8" t="inlineStr">
        <is>
          <t>Honorarios por impugnaciones adicionales cobrados (mensual)</t>
        </is>
      </c>
      <c r="B19" s="13">
        <f>Supuestos!$E$8*Supuestos!$E$33*Supuestos!$E$11/12*Supuestos!$E$15</f>
        <v/>
      </c>
      <c r="C19" s="7" t="inlineStr"/>
    </row>
    <row r="20">
      <c r="A20" s="8" t="inlineStr">
        <is>
          <t>Horas de asesoría + monitoreo + impugnaciones por cooperativa (mensual)</t>
        </is>
      </c>
      <c r="B20" s="46">
        <f>Supuestos!$E$35+Supuestos!$E$8*Supuestos!$E$40+Supuestos!$E$8*(Supuestos!$E$32+Supuestos!$E$33)*Supuestos!$E$39/12</f>
        <v/>
      </c>
      <c r="C20" s="7" t="inlineStr"/>
    </row>
    <row r="21">
      <c r="A21" s="8" t="inlineStr">
        <is>
          <t>Horas de siniestros por cooperativa (mensual)</t>
        </is>
      </c>
      <c r="B21" s="46">
        <f>Supuestos!$E$8*(Supuestos!$E$29*Supuestos!$E$36+Supuestos!$E$30*Supuestos!$E$37+Supuestos!$E$31*Supuestos!$E$38)/12</f>
        <v/>
      </c>
      <c r="C21" s="7" t="inlineStr"/>
    </row>
    <row r="22">
      <c r="A22" s="8" t="inlineStr">
        <is>
          <t>Costo por hora de abogado</t>
        </is>
      </c>
      <c r="B22" s="48">
        <f>Supuestos!$E$46/Supuestos!$E$47</f>
        <v/>
      </c>
      <c r="C22" s="7" t="inlineStr"/>
    </row>
    <row r="23">
      <c r="A23" s="8" t="inlineStr">
        <is>
          <t>Costo de abogado por cooperativa (mensual)</t>
        </is>
      </c>
      <c r="B23" s="13">
        <f>(B20+B21)*B22</f>
        <v/>
      </c>
      <c r="C23" s="7" t="inlineStr"/>
    </row>
    <row r="24">
      <c r="A24" s="8" t="inlineStr">
        <is>
          <t>Gastos directos de siniestros por cooperativa (mensual)</t>
        </is>
      </c>
      <c r="B24" s="13">
        <f>Supuestos!$E$8*(Supuestos!$E$29*Supuestos!$E$42+Supuestos!$E$30*Supuestos!$E$43+Supuestos!$E$31*Supuestos!$E$44)/12</f>
        <v/>
      </c>
      <c r="C24" s="7" t="inlineStr"/>
    </row>
    <row r="25">
      <c r="A25" s="5" t="inlineStr">
        <is>
          <t>Contribución por cooperativa (mensual)</t>
        </is>
      </c>
      <c r="B25" s="11">
        <f>B17+B18+B19-B23-B24</f>
        <v/>
      </c>
      <c r="C25" s="7" t="inlineStr">
        <is>
          <t>lo que deja cada cooperativa para cubrir fijos</t>
        </is>
      </c>
    </row>
    <row r="26">
      <c r="A26" s="8" t="inlineStr">
        <is>
          <t>Costos fijos (sin abogados)</t>
        </is>
      </c>
      <c r="B26" s="13">
        <f>Supuestos!$E$49+Supuestos!$E$50+Supuestos!$E$51+Supuestos!$E$52+Supuestos!$E$53+Supuestos!$E$54+Supuestos!$E$55+Supuestos!$E$56</f>
        <v/>
      </c>
      <c r="C26" s="7" t="inlineStr"/>
    </row>
    <row r="27">
      <c r="A27" s="5" t="inlineStr">
        <is>
          <t>PUNTO DE EQUILIBRIO — cooperativas</t>
        </is>
      </c>
      <c r="B27" s="49">
        <f>IF(B25&lt;=0,"Nunca: cada cooperativa pierde plata",B26/B25)</f>
        <v/>
      </c>
      <c r="C27" s="7" t="inlineStr"/>
    </row>
    <row r="28">
      <c r="A28" s="5" t="inlineStr">
        <is>
          <t>PUNTO DE EQUILIBRIO — buses</t>
        </is>
      </c>
      <c r="B28" s="50">
        <f>IF(B25&lt;=0,"Nunca",B27*Supuestos!$E$8)</f>
        <v/>
      </c>
      <c r="C28" s="7" t="inlineStr"/>
    </row>
    <row r="29">
      <c r="A29" s="8" t="inlineStr">
        <is>
          <t>Siniestralidad máxima tolerable (multiplicador sobre la supuesta)</t>
        </is>
      </c>
      <c r="B29" s="51">
        <f>IF(B21*B22+B24-B18&lt;=0,"Sin límite: cada siniestro deja margen",MAX(0,(B17+B19-B20*B22-B26/MAX(1,Supuestos!$E$27/2))/(B21*B22+B24-B18)))</f>
        <v/>
      </c>
      <c r="C29" s="7" t="inlineStr">
        <is>
          <t>con la mitad del techo de cooperativas: si los siniestros se multiplican por más que esto, se pierde dinero</t>
        </is>
      </c>
    </row>
    <row r="30">
      <c r="A30" s="8" t="inlineStr">
        <is>
          <t>Cuota mínima por bus para equilibrio con 5 cooperativas</t>
        </is>
      </c>
      <c r="B30" s="48">
        <f>MAX(0,((B26/5+B23+B24-B18-B19)/((1-Supuestos!$E$22*Supuestos!$E$23)*(1-Supuestos!$E$24))-Supuestos!$E$9)/Supuestos!$E$8)</f>
        <v/>
      </c>
      <c r="C30" s="7" t="inlineStr">
        <is>
          <t>USD/bus/mes</t>
        </is>
      </c>
    </row>
    <row r="31">
      <c r="A31" s="8" t="inlineStr">
        <is>
          <t>Peso de la cuota de la cooperativa en las cuotas</t>
        </is>
      </c>
      <c r="B31" s="47">
        <f>Supuestos!$E$9/(Supuestos!$E$9+Supuestos!$E$8*Supuestos!$E$10)</f>
        <v/>
      </c>
      <c r="C31" s="7" t="inlineStr">
        <is>
          <t>cuánto depende el plan de la asesoría societaria y no de las multas</t>
        </is>
      </c>
    </row>
    <row r="33">
      <c r="A33" s="3" t="inlineStr">
        <is>
          <t>Sensibilidad: punto de equilibrio (cooperativas) según cuota por bus y siniestralidad</t>
        </is>
      </c>
      <c r="B33" s="4" t="n"/>
      <c r="C33" s="4" t="n"/>
    </row>
    <row r="34">
      <c r="A34" s="5" t="inlineStr">
        <is>
          <t>Cuota por bus (USD/mes) ↓   ·   multiplicador de siniestralidad →</t>
        </is>
      </c>
      <c r="B34" s="52" t="n">
        <v>0.5</v>
      </c>
      <c r="C34" s="52" t="n">
        <v>1</v>
      </c>
      <c r="D34" s="52" t="n">
        <v>2</v>
      </c>
      <c r="E34" s="52" t="n">
        <v>3</v>
      </c>
      <c r="F34" s="52" t="n">
        <v>5</v>
      </c>
    </row>
    <row r="35">
      <c r="A35" s="21" t="n">
        <v>5</v>
      </c>
      <c r="B35" s="53">
        <f>IF(((Supuestos!$E$9+Supuestos!$E$8*$A35)*(1-Supuestos!$E$22*Supuestos!$E$23)*(1-Supuestos!$E$24)+$B$19)-($B$20*$B$22+B$34*($B$21*$B$22+$B$24-$B$18))&lt;=0,"Pierde",$B$26/(((Supuestos!$E$9+Supuestos!$E$8*$A35)*(1-Supuestos!$E$22*Supuestos!$E$23)*(1-Supuestos!$E$24)+$B$19)-($B$20*$B$22+B$34*($B$21*$B$22+$B$24-$B$18))))</f>
        <v/>
      </c>
      <c r="C35" s="53">
        <f>IF(((Supuestos!$E$9+Supuestos!$E$8*$A35)*(1-Supuestos!$E$22*Supuestos!$E$23)*(1-Supuestos!$E$24)+$B$19)-($B$20*$B$22+C$34*($B$21*$B$22+$B$24-$B$18))&lt;=0,"Pierde",$B$26/(((Supuestos!$E$9+Supuestos!$E$8*$A35)*(1-Supuestos!$E$22*Supuestos!$E$23)*(1-Supuestos!$E$24)+$B$19)-($B$20*$B$22+C$34*($B$21*$B$22+$B$24-$B$18))))</f>
        <v/>
      </c>
      <c r="D35" s="53">
        <f>IF(((Supuestos!$E$9+Supuestos!$E$8*$A35)*(1-Supuestos!$E$22*Supuestos!$E$23)*(1-Supuestos!$E$24)+$B$19)-($B$20*$B$22+D$34*($B$21*$B$22+$B$24-$B$18))&lt;=0,"Pierde",$B$26/(((Supuestos!$E$9+Supuestos!$E$8*$A35)*(1-Supuestos!$E$22*Supuestos!$E$23)*(1-Supuestos!$E$24)+$B$19)-($B$20*$B$22+D$34*($B$21*$B$22+$B$24-$B$18))))</f>
        <v/>
      </c>
      <c r="E35" s="53">
        <f>IF(((Supuestos!$E$9+Supuestos!$E$8*$A35)*(1-Supuestos!$E$22*Supuestos!$E$23)*(1-Supuestos!$E$24)+$B$19)-($B$20*$B$22+E$34*($B$21*$B$22+$B$24-$B$18))&lt;=0,"Pierde",$B$26/(((Supuestos!$E$9+Supuestos!$E$8*$A35)*(1-Supuestos!$E$22*Supuestos!$E$23)*(1-Supuestos!$E$24)+$B$19)-($B$20*$B$22+E$34*($B$21*$B$22+$B$24-$B$18))))</f>
        <v/>
      </c>
      <c r="F35" s="53">
        <f>IF(((Supuestos!$E$9+Supuestos!$E$8*$A35)*(1-Supuestos!$E$22*Supuestos!$E$23)*(1-Supuestos!$E$24)+$B$19)-($B$20*$B$22+F$34*($B$21*$B$22+$B$24-$B$18))&lt;=0,"Pierde",$B$26/(((Supuestos!$E$9+Supuestos!$E$8*$A35)*(1-Supuestos!$E$22*Supuestos!$E$23)*(1-Supuestos!$E$24)+$B$19)-($B$20*$B$22+F$34*($B$21*$B$22+$B$24-$B$18))))</f>
        <v/>
      </c>
    </row>
    <row r="36">
      <c r="A36" s="21" t="n">
        <v>6</v>
      </c>
      <c r="B36" s="53">
        <f>IF(((Supuestos!$E$9+Supuestos!$E$8*$A36)*(1-Supuestos!$E$22*Supuestos!$E$23)*(1-Supuestos!$E$24)+$B$19)-($B$20*$B$22+B$34*($B$21*$B$22+$B$24-$B$18))&lt;=0,"Pierde",$B$26/(((Supuestos!$E$9+Supuestos!$E$8*$A36)*(1-Supuestos!$E$22*Supuestos!$E$23)*(1-Supuestos!$E$24)+$B$19)-($B$20*$B$22+B$34*($B$21*$B$22+$B$24-$B$18))))</f>
        <v/>
      </c>
      <c r="C36" s="53">
        <f>IF(((Supuestos!$E$9+Supuestos!$E$8*$A36)*(1-Supuestos!$E$22*Supuestos!$E$23)*(1-Supuestos!$E$24)+$B$19)-($B$20*$B$22+C$34*($B$21*$B$22+$B$24-$B$18))&lt;=0,"Pierde",$B$26/(((Supuestos!$E$9+Supuestos!$E$8*$A36)*(1-Supuestos!$E$22*Supuestos!$E$23)*(1-Supuestos!$E$24)+$B$19)-($B$20*$B$22+C$34*($B$21*$B$22+$B$24-$B$18))))</f>
        <v/>
      </c>
      <c r="D36" s="53">
        <f>IF(((Supuestos!$E$9+Supuestos!$E$8*$A36)*(1-Supuestos!$E$22*Supuestos!$E$23)*(1-Supuestos!$E$24)+$B$19)-($B$20*$B$22+D$34*($B$21*$B$22+$B$24-$B$18))&lt;=0,"Pierde",$B$26/(((Supuestos!$E$9+Supuestos!$E$8*$A36)*(1-Supuestos!$E$22*Supuestos!$E$23)*(1-Supuestos!$E$24)+$B$19)-($B$20*$B$22+D$34*($B$21*$B$22+$B$24-$B$18))))</f>
        <v/>
      </c>
      <c r="E36" s="53">
        <f>IF(((Supuestos!$E$9+Supuestos!$E$8*$A36)*(1-Supuestos!$E$22*Supuestos!$E$23)*(1-Supuestos!$E$24)+$B$19)-($B$20*$B$22+E$34*($B$21*$B$22+$B$24-$B$18))&lt;=0,"Pierde",$B$26/(((Supuestos!$E$9+Supuestos!$E$8*$A36)*(1-Supuestos!$E$22*Supuestos!$E$23)*(1-Supuestos!$E$24)+$B$19)-($B$20*$B$22+E$34*($B$21*$B$22+$B$24-$B$18))))</f>
        <v/>
      </c>
      <c r="F36" s="53">
        <f>IF(((Supuestos!$E$9+Supuestos!$E$8*$A36)*(1-Supuestos!$E$22*Supuestos!$E$23)*(1-Supuestos!$E$24)+$B$19)-($B$20*$B$22+F$34*($B$21*$B$22+$B$24-$B$18))&lt;=0,"Pierde",$B$26/(((Supuestos!$E$9+Supuestos!$E$8*$A36)*(1-Supuestos!$E$22*Supuestos!$E$23)*(1-Supuestos!$E$24)+$B$19)-($B$20*$B$22+F$34*($B$21*$B$22+$B$24-$B$18))))</f>
        <v/>
      </c>
    </row>
    <row r="37">
      <c r="A37" s="21" t="n">
        <v>8</v>
      </c>
      <c r="B37" s="53">
        <f>IF(((Supuestos!$E$9+Supuestos!$E$8*$A37)*(1-Supuestos!$E$22*Supuestos!$E$23)*(1-Supuestos!$E$24)+$B$19)-($B$20*$B$22+B$34*($B$21*$B$22+$B$24-$B$18))&lt;=0,"Pierde",$B$26/(((Supuestos!$E$9+Supuestos!$E$8*$A37)*(1-Supuestos!$E$22*Supuestos!$E$23)*(1-Supuestos!$E$24)+$B$19)-($B$20*$B$22+B$34*($B$21*$B$22+$B$24-$B$18))))</f>
        <v/>
      </c>
      <c r="C37" s="53">
        <f>IF(((Supuestos!$E$9+Supuestos!$E$8*$A37)*(1-Supuestos!$E$22*Supuestos!$E$23)*(1-Supuestos!$E$24)+$B$19)-($B$20*$B$22+C$34*($B$21*$B$22+$B$24-$B$18))&lt;=0,"Pierde",$B$26/(((Supuestos!$E$9+Supuestos!$E$8*$A37)*(1-Supuestos!$E$22*Supuestos!$E$23)*(1-Supuestos!$E$24)+$B$19)-($B$20*$B$22+C$34*($B$21*$B$22+$B$24-$B$18))))</f>
        <v/>
      </c>
      <c r="D37" s="53">
        <f>IF(((Supuestos!$E$9+Supuestos!$E$8*$A37)*(1-Supuestos!$E$22*Supuestos!$E$23)*(1-Supuestos!$E$24)+$B$19)-($B$20*$B$22+D$34*($B$21*$B$22+$B$24-$B$18))&lt;=0,"Pierde",$B$26/(((Supuestos!$E$9+Supuestos!$E$8*$A37)*(1-Supuestos!$E$22*Supuestos!$E$23)*(1-Supuestos!$E$24)+$B$19)-($B$20*$B$22+D$34*($B$21*$B$22+$B$24-$B$18))))</f>
        <v/>
      </c>
      <c r="E37" s="53">
        <f>IF(((Supuestos!$E$9+Supuestos!$E$8*$A37)*(1-Supuestos!$E$22*Supuestos!$E$23)*(1-Supuestos!$E$24)+$B$19)-($B$20*$B$22+E$34*($B$21*$B$22+$B$24-$B$18))&lt;=0,"Pierde",$B$26/(((Supuestos!$E$9+Supuestos!$E$8*$A37)*(1-Supuestos!$E$22*Supuestos!$E$23)*(1-Supuestos!$E$24)+$B$19)-($B$20*$B$22+E$34*($B$21*$B$22+$B$24-$B$18))))</f>
        <v/>
      </c>
      <c r="F37" s="53">
        <f>IF(((Supuestos!$E$9+Supuestos!$E$8*$A37)*(1-Supuestos!$E$22*Supuestos!$E$23)*(1-Supuestos!$E$24)+$B$19)-($B$20*$B$22+F$34*($B$21*$B$22+$B$24-$B$18))&lt;=0,"Pierde",$B$26/(((Supuestos!$E$9+Supuestos!$E$8*$A37)*(1-Supuestos!$E$22*Supuestos!$E$23)*(1-Supuestos!$E$24)+$B$19)-($B$20*$B$22+F$34*($B$21*$B$22+$B$24-$B$18))))</f>
        <v/>
      </c>
    </row>
    <row r="38">
      <c r="A38" s="21" t="n">
        <v>10</v>
      </c>
      <c r="B38" s="53">
        <f>IF(((Supuestos!$E$9+Supuestos!$E$8*$A38)*(1-Supuestos!$E$22*Supuestos!$E$23)*(1-Supuestos!$E$24)+$B$19)-($B$20*$B$22+B$34*($B$21*$B$22+$B$24-$B$18))&lt;=0,"Pierde",$B$26/(((Supuestos!$E$9+Supuestos!$E$8*$A38)*(1-Supuestos!$E$22*Supuestos!$E$23)*(1-Supuestos!$E$24)+$B$19)-($B$20*$B$22+B$34*($B$21*$B$22+$B$24-$B$18))))</f>
        <v/>
      </c>
      <c r="C38" s="53">
        <f>IF(((Supuestos!$E$9+Supuestos!$E$8*$A38)*(1-Supuestos!$E$22*Supuestos!$E$23)*(1-Supuestos!$E$24)+$B$19)-($B$20*$B$22+C$34*($B$21*$B$22+$B$24-$B$18))&lt;=0,"Pierde",$B$26/(((Supuestos!$E$9+Supuestos!$E$8*$A38)*(1-Supuestos!$E$22*Supuestos!$E$23)*(1-Supuestos!$E$24)+$B$19)-($B$20*$B$22+C$34*($B$21*$B$22+$B$24-$B$18))))</f>
        <v/>
      </c>
      <c r="D38" s="53">
        <f>IF(((Supuestos!$E$9+Supuestos!$E$8*$A38)*(1-Supuestos!$E$22*Supuestos!$E$23)*(1-Supuestos!$E$24)+$B$19)-($B$20*$B$22+D$34*($B$21*$B$22+$B$24-$B$18))&lt;=0,"Pierde",$B$26/(((Supuestos!$E$9+Supuestos!$E$8*$A38)*(1-Supuestos!$E$22*Supuestos!$E$23)*(1-Supuestos!$E$24)+$B$19)-($B$20*$B$22+D$34*($B$21*$B$22+$B$24-$B$18))))</f>
        <v/>
      </c>
      <c r="E38" s="53">
        <f>IF(((Supuestos!$E$9+Supuestos!$E$8*$A38)*(1-Supuestos!$E$22*Supuestos!$E$23)*(1-Supuestos!$E$24)+$B$19)-($B$20*$B$22+E$34*($B$21*$B$22+$B$24-$B$18))&lt;=0,"Pierde",$B$26/(((Supuestos!$E$9+Supuestos!$E$8*$A38)*(1-Supuestos!$E$22*Supuestos!$E$23)*(1-Supuestos!$E$24)+$B$19)-($B$20*$B$22+E$34*($B$21*$B$22+$B$24-$B$18))))</f>
        <v/>
      </c>
      <c r="F38" s="53">
        <f>IF(((Supuestos!$E$9+Supuestos!$E$8*$A38)*(1-Supuestos!$E$22*Supuestos!$E$23)*(1-Supuestos!$E$24)+$B$19)-($B$20*$B$22+F$34*($B$21*$B$22+$B$24-$B$18))&lt;=0,"Pierde",$B$26/(((Supuestos!$E$9+Supuestos!$E$8*$A38)*(1-Supuestos!$E$22*Supuestos!$E$23)*(1-Supuestos!$E$24)+$B$19)-($B$20*$B$22+F$34*($B$21*$B$22+$B$24-$B$18))))</f>
        <v/>
      </c>
    </row>
    <row r="39">
      <c r="A39" s="21" t="n">
        <v>12</v>
      </c>
      <c r="B39" s="53">
        <f>IF(((Supuestos!$E$9+Supuestos!$E$8*$A39)*(1-Supuestos!$E$22*Supuestos!$E$23)*(1-Supuestos!$E$24)+$B$19)-($B$20*$B$22+B$34*($B$21*$B$22+$B$24-$B$18))&lt;=0,"Pierde",$B$26/(((Supuestos!$E$9+Supuestos!$E$8*$A39)*(1-Supuestos!$E$22*Supuestos!$E$23)*(1-Supuestos!$E$24)+$B$19)-($B$20*$B$22+B$34*($B$21*$B$22+$B$24-$B$18))))</f>
        <v/>
      </c>
      <c r="C39" s="53">
        <f>IF(((Supuestos!$E$9+Supuestos!$E$8*$A39)*(1-Supuestos!$E$22*Supuestos!$E$23)*(1-Supuestos!$E$24)+$B$19)-($B$20*$B$22+C$34*($B$21*$B$22+$B$24-$B$18))&lt;=0,"Pierde",$B$26/(((Supuestos!$E$9+Supuestos!$E$8*$A39)*(1-Supuestos!$E$22*Supuestos!$E$23)*(1-Supuestos!$E$24)+$B$19)-($B$20*$B$22+C$34*($B$21*$B$22+$B$24-$B$18))))</f>
        <v/>
      </c>
      <c r="D39" s="53">
        <f>IF(((Supuestos!$E$9+Supuestos!$E$8*$A39)*(1-Supuestos!$E$22*Supuestos!$E$23)*(1-Supuestos!$E$24)+$B$19)-($B$20*$B$22+D$34*($B$21*$B$22+$B$24-$B$18))&lt;=0,"Pierde",$B$26/(((Supuestos!$E$9+Supuestos!$E$8*$A39)*(1-Supuestos!$E$22*Supuestos!$E$23)*(1-Supuestos!$E$24)+$B$19)-($B$20*$B$22+D$34*($B$21*$B$22+$B$24-$B$18))))</f>
        <v/>
      </c>
      <c r="E39" s="53">
        <f>IF(((Supuestos!$E$9+Supuestos!$E$8*$A39)*(1-Supuestos!$E$22*Supuestos!$E$23)*(1-Supuestos!$E$24)+$B$19)-($B$20*$B$22+E$34*($B$21*$B$22+$B$24-$B$18))&lt;=0,"Pierde",$B$26/(((Supuestos!$E$9+Supuestos!$E$8*$A39)*(1-Supuestos!$E$22*Supuestos!$E$23)*(1-Supuestos!$E$24)+$B$19)-($B$20*$B$22+E$34*($B$21*$B$22+$B$24-$B$18))))</f>
        <v/>
      </c>
      <c r="F39" s="53">
        <f>IF(((Supuestos!$E$9+Supuestos!$E$8*$A39)*(1-Supuestos!$E$22*Supuestos!$E$23)*(1-Supuestos!$E$24)+$B$19)-($B$20*$B$22+F$34*($B$21*$B$22+$B$24-$B$18))&lt;=0,"Pierde",$B$26/(((Supuestos!$E$9+Supuestos!$E$8*$A39)*(1-Supuestos!$E$22*Supuestos!$E$23)*(1-Supuestos!$E$24)+$B$19)-($B$20*$B$22+F$34*($B$21*$B$22+$B$24-$B$18))))</f>
        <v/>
      </c>
    </row>
    <row r="40">
      <c r="A40" s="21" t="n">
        <v>15</v>
      </c>
      <c r="B40" s="53">
        <f>IF(((Supuestos!$E$9+Supuestos!$E$8*$A40)*(1-Supuestos!$E$22*Supuestos!$E$23)*(1-Supuestos!$E$24)+$B$19)-($B$20*$B$22+B$34*($B$21*$B$22+$B$24-$B$18))&lt;=0,"Pierde",$B$26/(((Supuestos!$E$9+Supuestos!$E$8*$A40)*(1-Supuestos!$E$22*Supuestos!$E$23)*(1-Supuestos!$E$24)+$B$19)-($B$20*$B$22+B$34*($B$21*$B$22+$B$24-$B$18))))</f>
        <v/>
      </c>
      <c r="C40" s="53">
        <f>IF(((Supuestos!$E$9+Supuestos!$E$8*$A40)*(1-Supuestos!$E$22*Supuestos!$E$23)*(1-Supuestos!$E$24)+$B$19)-($B$20*$B$22+C$34*($B$21*$B$22+$B$24-$B$18))&lt;=0,"Pierde",$B$26/(((Supuestos!$E$9+Supuestos!$E$8*$A40)*(1-Supuestos!$E$22*Supuestos!$E$23)*(1-Supuestos!$E$24)+$B$19)-($B$20*$B$22+C$34*($B$21*$B$22+$B$24-$B$18))))</f>
        <v/>
      </c>
      <c r="D40" s="53">
        <f>IF(((Supuestos!$E$9+Supuestos!$E$8*$A40)*(1-Supuestos!$E$22*Supuestos!$E$23)*(1-Supuestos!$E$24)+$B$19)-($B$20*$B$22+D$34*($B$21*$B$22+$B$24-$B$18))&lt;=0,"Pierde",$B$26/(((Supuestos!$E$9+Supuestos!$E$8*$A40)*(1-Supuestos!$E$22*Supuestos!$E$23)*(1-Supuestos!$E$24)+$B$19)-($B$20*$B$22+D$34*($B$21*$B$22+$B$24-$B$18))))</f>
        <v/>
      </c>
      <c r="E40" s="53">
        <f>IF(((Supuestos!$E$9+Supuestos!$E$8*$A40)*(1-Supuestos!$E$22*Supuestos!$E$23)*(1-Supuestos!$E$24)+$B$19)-($B$20*$B$22+E$34*($B$21*$B$22+$B$24-$B$18))&lt;=0,"Pierde",$B$26/(((Supuestos!$E$9+Supuestos!$E$8*$A40)*(1-Supuestos!$E$22*Supuestos!$E$23)*(1-Supuestos!$E$24)+$B$19)-($B$20*$B$22+E$34*($B$21*$B$22+$B$24-$B$18))))</f>
        <v/>
      </c>
      <c r="F40" s="53">
        <f>IF(((Supuestos!$E$9+Supuestos!$E$8*$A40)*(1-Supuestos!$E$22*Supuestos!$E$23)*(1-Supuestos!$E$24)+$B$19)-($B$20*$B$22+F$34*($B$21*$B$22+$B$24-$B$18))&lt;=0,"Pierde",$B$26/(((Supuestos!$E$9+Supuestos!$E$8*$A40)*(1-Supuestos!$E$22*Supuestos!$E$23)*(1-Supuestos!$E$24)+$B$19)-($B$20*$B$22+F$34*($B$21*$B$22+$B$24-$B$18))))</f>
        <v/>
      </c>
    </row>
    <row r="42">
      <c r="A42" s="3" t="inlineStr">
        <is>
          <t>Valor para el socio (dueño del bus), USD por bus por año</t>
        </is>
      </c>
      <c r="B42" s="4" t="n"/>
      <c r="C42" s="4" t="n"/>
    </row>
    <row r="43">
      <c r="A43" s="8" t="inlineStr">
        <is>
          <t>Ahorro esperado por cada impugnación (multa × probabilidad de ganar)</t>
        </is>
      </c>
      <c r="B43" s="13">
        <f>Supuestos!$E$19*Supuestos!$E$20</f>
        <v/>
      </c>
      <c r="C43" s="7" t="inlineStr">
        <is>
          <t>si es menor que lo que cuesta impugnar, impugnar no conviene económicamente</t>
        </is>
      </c>
    </row>
    <row r="44">
      <c r="A44" s="8" t="inlineStr">
        <is>
          <t>Gasto esperado SIN plan (pagando por caso a precio de mercado)</t>
        </is>
      </c>
      <c r="B44" s="13">
        <f>Supuestos!$E$29*Supuestos!$E$16+(Supuestos!$E$30+Supuestos!$E$31)*Supuestos!$E$17+(Supuestos!$E$32+Supuestos!$E$33)*Supuestos!$E$18</f>
        <v/>
      </c>
      <c r="C44" s="7" t="inlineStr">
        <is>
          <t>si hiciera por su cuenta lo mismo que hace con el plan</t>
        </is>
      </c>
    </row>
    <row r="45">
      <c r="A45" s="8" t="inlineStr">
        <is>
          <t>Costo esperado CON plan (cuota por bus + honorarios por caso)</t>
        </is>
      </c>
      <c r="B45" s="13">
        <f>12*Supuestos!$E$10+Supuestos!$E$29*Supuestos!$E$12+Supuestos!$E$30*Supuestos!$E$13+Supuestos!$E$31*Supuestos!$E$14+Supuestos!$E$33*Supuestos!$E$11</f>
        <v/>
      </c>
      <c r="C45" s="7" t="inlineStr">
        <is>
          <t>sin la cuota de la cooperativa, que paga otro servicio</t>
        </is>
      </c>
    </row>
    <row r="46">
      <c r="A46" s="5" t="inlineStr">
        <is>
          <t>Diferencia para el socio (positivo = ahorra)</t>
        </is>
      </c>
      <c r="B46" s="11">
        <f>B44-B45</f>
        <v/>
      </c>
      <c r="C46" s="7" t="inlineStr">
        <is>
          <t>si es negativo, el plan se vende por tranquilidad, monitoreo y rapidez</t>
        </is>
      </c>
    </row>
    <row r="47">
      <c r="A47" s="8" t="inlineStr">
        <is>
          <t>Multas evitadas esperadas por bus al año</t>
        </is>
      </c>
      <c r="B47" s="13">
        <f>(Supuestos!$E$32+Supuestos!$E$33)*B43</f>
        <v/>
      </c>
      <c r="C47" s="7" t="inlineStr">
        <is>
          <t>a sumar al ahorro anterior</t>
        </is>
      </c>
    </row>
    <row r="49" ht="30" customHeight="1">
      <c r="A49" s="23" t="inlineStr">
        <is>
          <t>Notas: (1) Fuente de los números: supuestos de trabajo salvo la tarifa de USD 2.500, la plaza (Guayaquil) y la forma jurídica (sociedad), dadas por Jurix; el SBU 2026 (USD 482) y el plazo de 3 días para impugnar (art. 644 COIP) son de fuentes públicas. (2) No incluye un evento catastrófico. (3) Honorarios por caso: se asumen cobrados en el mismo mes. (4) Los cobros anuales adelantados mejoran la caja pero no se modelan como anticipo.</t>
        </is>
      </c>
    </row>
    <row r="50"/>
    <row r="51"/>
  </sheetData>
  <mergeCells count="1">
    <mergeCell ref="A49:F5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1" t="inlineStr">
        <is>
          <t>Plan de Asistencia Legal a Cooperativas de Transporte (Guayaquil) — Jurix Global</t>
        </is>
      </c>
    </row>
    <row r="2">
      <c r="A2" s="2" t="inlineStr">
        <is>
          <t>Leyenda: texto AZUL = dato editable · fondo AMARILLO = supuesto clave a validar · NEGRO = fórmula. Montos en USD.</t>
        </is>
      </c>
    </row>
    <row r="4">
      <c r="A4" s="5" t="inlineStr">
        <is>
          <t>Escenario activo (1 = Pesimista, 2 = Base, 3 = Optimista)</t>
        </is>
      </c>
      <c r="B4" s="24" t="n">
        <v>2</v>
      </c>
    </row>
    <row r="6">
      <c r="A6" s="3" t="inlineStr">
        <is>
          <t>Supuesto</t>
        </is>
      </c>
      <c r="B6" s="3" t="inlineStr">
        <is>
          <t>Pesimista</t>
        </is>
      </c>
      <c r="C6" s="3" t="inlineStr">
        <is>
          <t>Base</t>
        </is>
      </c>
      <c r="D6" s="3" t="inlineStr">
        <is>
          <t>Optimista</t>
        </is>
      </c>
      <c r="E6" s="3" t="inlineStr">
        <is>
          <t>ACTIVO</t>
        </is>
      </c>
      <c r="F6" s="3" t="inlineStr">
        <is>
          <t>Unidad / nota</t>
        </is>
      </c>
    </row>
    <row r="7">
      <c r="A7" s="25" t="inlineStr">
        <is>
          <t>Comercial y precio</t>
        </is>
      </c>
      <c r="B7" s="26" t="n"/>
      <c r="C7" s="26" t="n"/>
      <c r="D7" s="26" t="n"/>
      <c r="E7" s="26" t="n"/>
      <c r="F7" s="26" t="n"/>
    </row>
    <row r="8">
      <c r="A8" s="8" t="inlineStr">
        <is>
          <t>Buses (socios) por cooperativa</t>
        </is>
      </c>
      <c r="B8" s="54" t="n">
        <v>40</v>
      </c>
      <c r="C8" s="54" t="n">
        <v>40</v>
      </c>
      <c r="D8" s="54" t="n">
        <v>40</v>
      </c>
      <c r="E8" s="50">
        <f>INDEX(B8:D8,1,$B$4)</f>
        <v/>
      </c>
      <c r="F8" s="7" t="inlineStr">
        <is>
          <t>unidades; Guayaquil: ~58 cooperativas urbanas y ~1.950–2.500 buses (ATM, 2024–2026) ≈ 35–43 por cooperativa</t>
        </is>
      </c>
    </row>
    <row r="9">
      <c r="A9" s="8" t="inlineStr">
        <is>
          <t>Cuota base por cooperativa (asesoría societaria permanente)</t>
        </is>
      </c>
      <c r="B9" s="28" t="n">
        <v>300</v>
      </c>
      <c r="C9" s="28" t="n">
        <v>300</v>
      </c>
      <c r="D9" s="28" t="n">
        <v>300</v>
      </c>
      <c r="E9" s="11">
        <f>INDEX(B9:D9,1,$B$4)</f>
        <v/>
      </c>
      <c r="F9" s="7" t="inlineStr">
        <is>
          <t>USD/mes por cooperativa</t>
        </is>
      </c>
    </row>
    <row r="10">
      <c r="A10" s="8" t="inlineStr">
        <is>
          <t>Cuota por bus (monitoreo de multas + 1 impugnación al año + atención de siniestros)</t>
        </is>
      </c>
      <c r="B10" s="55" t="n">
        <v>10</v>
      </c>
      <c r="C10" s="55" t="n">
        <v>10</v>
      </c>
      <c r="D10" s="55" t="n">
        <v>10</v>
      </c>
      <c r="E10" s="56">
        <f>INDEX(B10:D10,1,$B$4)</f>
        <v/>
      </c>
      <c r="F10" s="7" t="inlineStr">
        <is>
          <t>USD/mes por bus</t>
        </is>
      </c>
    </row>
    <row r="11">
      <c r="A11" s="8" t="inlineStr">
        <is>
          <t>Honorario por impugnación adicional (desde la 2.ª del año)</t>
        </is>
      </c>
      <c r="B11" s="28" t="n">
        <v>40</v>
      </c>
      <c r="C11" s="28" t="n">
        <v>40</v>
      </c>
      <c r="D11" s="28" t="n">
        <v>40</v>
      </c>
      <c r="E11" s="11">
        <f>INDEX(B11:D11,1,$B$4)</f>
        <v/>
      </c>
      <c r="F11" s="7" t="inlineStr">
        <is>
          <t>USD/impugnación [SUPUESTO]</t>
        </is>
      </c>
    </row>
    <row r="12">
      <c r="A12" s="8" t="inlineStr">
        <is>
          <t>Honorario preferencial por siniestro con daños materiales</t>
        </is>
      </c>
      <c r="B12" s="28" t="n">
        <v>300</v>
      </c>
      <c r="C12" s="28" t="n">
        <v>300</v>
      </c>
      <c r="D12" s="28" t="n">
        <v>300</v>
      </c>
      <c r="E12" s="11">
        <f>INDEX(B12:D12,1,$B$4)</f>
        <v/>
      </c>
      <c r="F12" s="7" t="inlineStr">
        <is>
          <t>USD/caso cobrado al socio (0 = plan sin copago)</t>
        </is>
      </c>
    </row>
    <row r="13">
      <c r="A13" s="8" t="inlineStr">
        <is>
          <t>Honorario preferencial por siniestro con lesionados</t>
        </is>
      </c>
      <c r="B13" s="28" t="n">
        <v>1200</v>
      </c>
      <c r="C13" s="28" t="n">
        <v>1200</v>
      </c>
      <c r="D13" s="28" t="n">
        <v>1200</v>
      </c>
      <c r="E13" s="11">
        <f>INDEX(B13:D13,1,$B$4)</f>
        <v/>
      </c>
      <c r="F13" s="7" t="inlineStr">
        <is>
          <t>USD/caso; referencia: Jurix cobra hoy USD 2.500 en procedimiento directo (dato del usuario)</t>
        </is>
      </c>
    </row>
    <row r="14">
      <c r="A14" s="8" t="inlineStr">
        <is>
          <t>Honorario preferencial por siniestro con fallecidos</t>
        </is>
      </c>
      <c r="B14" s="28" t="n">
        <v>1500</v>
      </c>
      <c r="C14" s="28" t="n">
        <v>1500</v>
      </c>
      <c r="D14" s="28" t="n">
        <v>1500</v>
      </c>
      <c r="E14" s="11">
        <f>INDEX(B14:D14,1,$B$4)</f>
        <v/>
      </c>
      <c r="F14" s="7" t="inlineStr">
        <is>
          <t>USD/caso</t>
        </is>
      </c>
    </row>
    <row r="15">
      <c r="A15" s="8" t="inlineStr">
        <is>
          <t>% del honorario por caso efectivamente cobrado</t>
        </is>
      </c>
      <c r="B15" s="57" t="n">
        <v>0.75</v>
      </c>
      <c r="C15" s="57" t="n">
        <v>0.85</v>
      </c>
      <c r="D15" s="57" t="n">
        <v>0.9</v>
      </c>
      <c r="E15" s="44">
        <f>INDEX(B15:D15,1,$B$4)</f>
        <v/>
      </c>
      <c r="F15" s="7" t="inlineStr">
        <is>
          <t>se cobra al socio; parte se negocia en cuotas o no se paga</t>
        </is>
      </c>
    </row>
    <row r="16">
      <c r="A16" s="8" t="inlineStr">
        <is>
          <t>Precio de mercado SIN plan: caso con daños materiales</t>
        </is>
      </c>
      <c r="B16" s="32" t="n">
        <v>600</v>
      </c>
      <c r="C16" s="32" t="n">
        <v>600</v>
      </c>
      <c r="D16" s="32" t="n">
        <v>600</v>
      </c>
      <c r="E16" s="11">
        <f>INDEX(B16:D16,1,$B$4)</f>
        <v/>
      </c>
      <c r="F16" s="7" t="inlineStr">
        <is>
          <t>USD/caso [SUPUESTO] — solo para comparar el valor para el socio</t>
        </is>
      </c>
    </row>
    <row r="17">
      <c r="A17" s="8" t="inlineStr">
        <is>
          <t>Precio de mercado SIN plan: caso con lesionados o fallecidos</t>
        </is>
      </c>
      <c r="B17" s="32" t="n">
        <v>2500</v>
      </c>
      <c r="C17" s="32" t="n">
        <v>2500</v>
      </c>
      <c r="D17" s="32" t="n">
        <v>2500</v>
      </c>
      <c r="E17" s="11">
        <f>INDEX(B17:D17,1,$B$4)</f>
        <v/>
      </c>
      <c r="F17" s="7" t="inlineStr">
        <is>
          <t>USD/caso; tarifa actual de Jurix (dato del usuario); otros estudios cobran más</t>
        </is>
      </c>
    </row>
    <row r="18">
      <c r="A18" s="8" t="inlineStr">
        <is>
          <t>Precio de mercado SIN plan: impugnación de una citación</t>
        </is>
      </c>
      <c r="B18" s="32" t="n">
        <v>80</v>
      </c>
      <c r="C18" s="32" t="n">
        <v>80</v>
      </c>
      <c r="D18" s="32" t="n">
        <v>80</v>
      </c>
      <c r="E18" s="11">
        <f>INDEX(B18:D18,1,$B$4)</f>
        <v/>
      </c>
      <c r="F18" s="7" t="inlineStr">
        <is>
          <t>USD/impugnación [SUPUESTO — confirmar con la tarifa de Jurix]</t>
        </is>
      </c>
    </row>
    <row r="19">
      <c r="A19" s="8" t="inlineStr">
        <is>
          <t>Multa promedio que se impugna</t>
        </is>
      </c>
      <c r="B19" s="32" t="n">
        <v>145</v>
      </c>
      <c r="C19" s="32" t="n">
        <v>145</v>
      </c>
      <c r="D19" s="32" t="n">
        <v>145</v>
      </c>
      <c r="E19" s="11">
        <f>INDEX(B19:D19,1,$B$4)</f>
        <v/>
      </c>
      <c r="F19" s="7" t="inlineStr">
        <is>
          <t>USD; grave ≈ 30% del SBU 2026 (USD 482)</t>
        </is>
      </c>
    </row>
    <row r="20">
      <c r="A20" s="8" t="inlineStr">
        <is>
          <t>Probabilidad de ganar la impugnación</t>
        </is>
      </c>
      <c r="B20" s="57" t="n">
        <v>0.3</v>
      </c>
      <c r="C20" s="57" t="n">
        <v>0.4</v>
      </c>
      <c r="D20" s="57" t="n">
        <v>0.5</v>
      </c>
      <c r="E20" s="44">
        <f>INDEX(B20:D20,1,$B$4)</f>
        <v/>
      </c>
      <c r="F20" s="7" t="inlineStr">
        <is>
          <t>[SUPUESTO — usar la tasa real de éxito de Jurix]</t>
        </is>
      </c>
    </row>
    <row r="21">
      <c r="A21" s="8" t="inlineStr">
        <is>
          <t>Reajuste anual de precio</t>
        </is>
      </c>
      <c r="B21" s="58" t="n">
        <v>0</v>
      </c>
      <c r="C21" s="58" t="n">
        <v>0.03</v>
      </c>
      <c r="D21" s="58" t="n">
        <v>0.05</v>
      </c>
      <c r="E21" s="44">
        <f>INDEX(B21:D21,1,$B$4)</f>
        <v/>
      </c>
      <c r="F21" s="7" t="inlineStr">
        <is>
          <t>aplicado desde el mes 13 y 25</t>
        </is>
      </c>
    </row>
    <row r="22">
      <c r="A22" s="8" t="inlineStr">
        <is>
          <t>% de cooperativas que pagan anual por adelantado</t>
        </is>
      </c>
      <c r="B22" s="58" t="n">
        <v>0.2</v>
      </c>
      <c r="C22" s="58" t="n">
        <v>0.3</v>
      </c>
      <c r="D22" s="58" t="n">
        <v>0.4</v>
      </c>
      <c r="E22" s="44">
        <f>INDEX(B22:D22,1,$B$4)</f>
        <v/>
      </c>
      <c r="F22" s="7" t="inlineStr"/>
    </row>
    <row r="23">
      <c r="A23" s="8" t="inlineStr">
        <is>
          <t>Descuento por pago anual</t>
        </is>
      </c>
      <c r="B23" s="58" t="n">
        <v>0.1</v>
      </c>
      <c r="C23" s="58" t="n">
        <v>0.1</v>
      </c>
      <c r="D23" s="58" t="n">
        <v>0.1</v>
      </c>
      <c r="E23" s="44">
        <f>INDEX(B23:D23,1,$B$4)</f>
        <v/>
      </c>
      <c r="F23" s="7" t="inlineStr">
        <is>
          <t>sobre la tarifa</t>
        </is>
      </c>
    </row>
    <row r="24">
      <c r="A24" s="8" t="inlineStr">
        <is>
          <t>Morosidad / incobrables</t>
        </is>
      </c>
      <c r="B24" s="57" t="n">
        <v>0.15</v>
      </c>
      <c r="C24" s="57" t="n">
        <v>0.08</v>
      </c>
      <c r="D24" s="57" t="n">
        <v>0.05</v>
      </c>
      <c r="E24" s="44">
        <f>INDEX(B24:D24,1,$B$4)</f>
        <v/>
      </c>
      <c r="F24" s="7" t="inlineStr">
        <is>
          <t>% de lo facturado que no se cobra</t>
        </is>
      </c>
    </row>
    <row r="25">
      <c r="A25" s="8" t="inlineStr">
        <is>
          <t>Cooperativas nuevas por mes</t>
        </is>
      </c>
      <c r="B25" s="59" t="n">
        <v>0.25</v>
      </c>
      <c r="C25" s="59" t="n">
        <v>0.5</v>
      </c>
      <c r="D25" s="59" t="n">
        <v>0.75</v>
      </c>
      <c r="E25" s="49">
        <f>INDEX(B25:D25,1,$B$4)</f>
        <v/>
      </c>
      <c r="F25" s="7" t="inlineStr">
        <is>
          <t>0.5 = una cada 2 meses (ciclo de venta largo: aprobación en asamblea)</t>
        </is>
      </c>
    </row>
    <row r="26">
      <c r="A26" s="8" t="inlineStr">
        <is>
          <t>Pérdida anual de cooperativas (churn)</t>
        </is>
      </c>
      <c r="B26" s="57" t="n">
        <v>0.25</v>
      </c>
      <c r="C26" s="57" t="n">
        <v>0.15</v>
      </c>
      <c r="D26" s="57" t="n">
        <v>0.1</v>
      </c>
      <c r="E26" s="44">
        <f>INDEX(B26:D26,1,$B$4)</f>
        <v/>
      </c>
      <c r="F26" s="7" t="inlineStr">
        <is>
          <t>cambios de gerente/consejo, competencia</t>
        </is>
      </c>
    </row>
    <row r="27">
      <c r="A27" s="8" t="inlineStr">
        <is>
          <t>Máximo de cooperativas atendibles (mercado/zona)</t>
        </is>
      </c>
      <c r="B27" s="60" t="n">
        <v>12</v>
      </c>
      <c r="C27" s="60" t="n">
        <v>15</v>
      </c>
      <c r="D27" s="60" t="n">
        <v>20</v>
      </c>
      <c r="E27" s="50">
        <f>INDEX(B27:D27,1,$B$4)</f>
        <v/>
      </c>
      <c r="F27" s="7" t="inlineStr">
        <is>
          <t>techo comercial; 15 = ~25% de las cooperativas urbanas de Guayaquil</t>
        </is>
      </c>
    </row>
    <row r="28">
      <c r="A28" s="25" t="inlineStr">
        <is>
          <t>Siniestralidad (por bus por año)</t>
        </is>
      </c>
      <c r="B28" s="26" t="n"/>
      <c r="C28" s="26" t="n"/>
      <c r="D28" s="26" t="n"/>
      <c r="E28" s="26" t="n"/>
      <c r="F28" s="26" t="n"/>
    </row>
    <row r="29">
      <c r="A29" s="8" t="inlineStr">
        <is>
          <t>Siniestros solo con daños materiales</t>
        </is>
      </c>
      <c r="B29" s="59" t="n">
        <v>0.1</v>
      </c>
      <c r="C29" s="59" t="n">
        <v>0.05</v>
      </c>
      <c r="D29" s="59" t="n">
        <v>0.03</v>
      </c>
      <c r="E29" s="49">
        <f>INDEX(B29:D29,1,$B$4)</f>
        <v/>
      </c>
      <c r="F29" s="7" t="inlineStr">
        <is>
          <t>eventos/bus/año; el usuario reporta que en ciudad son pocos [SUPUESTO]</t>
        </is>
      </c>
    </row>
    <row r="30">
      <c r="A30" s="8" t="inlineStr">
        <is>
          <t>Siniestros con lesionados</t>
        </is>
      </c>
      <c r="B30" s="59" t="n">
        <v>0.03</v>
      </c>
      <c r="C30" s="59" t="n">
        <v>0.015</v>
      </c>
      <c r="D30" s="59" t="n">
        <v>0.01</v>
      </c>
      <c r="E30" s="49">
        <f>INDEX(B30:D30,1,$B$4)</f>
        <v/>
      </c>
      <c r="F30" s="7" t="inlineStr">
        <is>
          <t>eventos/bus/año [SUPUESTO]</t>
        </is>
      </c>
    </row>
    <row r="31">
      <c r="A31" s="8" t="inlineStr">
        <is>
          <t>Siniestros con fallecidos</t>
        </is>
      </c>
      <c r="B31" s="61" t="n">
        <v>0.005</v>
      </c>
      <c r="C31" s="61" t="n">
        <v>0.002</v>
      </c>
      <c r="D31" s="61" t="n">
        <v>0.001</v>
      </c>
      <c r="E31" s="62">
        <f>INDEX(B31:D31,1,$B$4)</f>
        <v/>
      </c>
      <c r="F31" s="7" t="inlineStr">
        <is>
          <t>eventos/bus/año [SUPUESTO]</t>
        </is>
      </c>
    </row>
    <row r="32">
      <c r="A32" s="8" t="inlineStr">
        <is>
          <t>Impugnaciones incluidas que se usan (máximo 1 por bus al año)</t>
        </is>
      </c>
      <c r="B32" s="38" t="n">
        <v>0.8</v>
      </c>
      <c r="C32" s="38" t="n">
        <v>0.6</v>
      </c>
      <c r="D32" s="38" t="n">
        <v>0.5</v>
      </c>
      <c r="E32" s="39">
        <f>INDEX(B32:D32,1,$B$4)</f>
        <v/>
      </c>
      <c r="F32" s="7" t="inlineStr">
        <is>
          <t>por bus/año; no todos los socios la usan [SUPUESTO]</t>
        </is>
      </c>
    </row>
    <row r="33">
      <c r="A33" s="8" t="inlineStr">
        <is>
          <t>Impugnaciones adicionales (cobradas aparte)</t>
        </is>
      </c>
      <c r="B33" s="38" t="n">
        <v>0.3</v>
      </c>
      <c r="C33" s="38" t="n">
        <v>0.4</v>
      </c>
      <c r="D33" s="38" t="n">
        <v>0.5</v>
      </c>
      <c r="E33" s="39">
        <f>INDEX(B33:D33,1,$B$4)</f>
        <v/>
      </c>
      <c r="F33" s="7" t="inlineStr">
        <is>
          <t>por bus/año [SUPUESTO]</t>
        </is>
      </c>
    </row>
    <row r="34">
      <c r="A34" s="25" t="inlineStr">
        <is>
          <t>Horas de abogado por evento</t>
        </is>
      </c>
      <c r="B34" s="26" t="n"/>
      <c r="C34" s="26" t="n"/>
      <c r="D34" s="26" t="n"/>
      <c r="E34" s="26" t="n"/>
      <c r="F34" s="26" t="n"/>
    </row>
    <row r="35">
      <c r="A35" s="8" t="inlineStr">
        <is>
          <t>Asesoría societaria/LOEPS por cooperativa</t>
        </is>
      </c>
      <c r="B35" s="63" t="n">
        <v>12</v>
      </c>
      <c r="C35" s="63" t="n">
        <v>10</v>
      </c>
      <c r="D35" s="63" t="n">
        <v>8</v>
      </c>
      <c r="E35" s="49">
        <f>INDEX(B35:D35,1,$B$4)</f>
        <v/>
      </c>
      <c r="F35" s="7" t="inlineStr">
        <is>
          <t>horas/mes por cooperativa (asambleas, estatutos, SEPS, ANT)</t>
        </is>
      </c>
    </row>
    <row r="36">
      <c r="A36" s="8" t="inlineStr">
        <is>
          <t>Siniestro con daños materiales</t>
        </is>
      </c>
      <c r="B36" s="63" t="n">
        <v>10</v>
      </c>
      <c r="C36" s="63" t="n">
        <v>8</v>
      </c>
      <c r="D36" s="63" t="n">
        <v>6</v>
      </c>
      <c r="E36" s="49">
        <f>INDEX(B36:D36,1,$B$4)</f>
        <v/>
      </c>
      <c r="F36" s="7" t="inlineStr">
        <is>
          <t>horas (flagrancia, acuerdo, devolución del bus)</t>
        </is>
      </c>
    </row>
    <row r="37">
      <c r="A37" s="8" t="inlineStr">
        <is>
          <t>Siniestro con lesionados</t>
        </is>
      </c>
      <c r="B37" s="63" t="n">
        <v>35</v>
      </c>
      <c r="C37" s="63" t="n">
        <v>25</v>
      </c>
      <c r="D37" s="63" t="n">
        <v>20</v>
      </c>
      <c r="E37" s="49">
        <f>INDEX(B37:D37,1,$B$4)</f>
        <v/>
      </c>
      <c r="F37" s="7" t="inlineStr">
        <is>
          <t>horas</t>
        </is>
      </c>
    </row>
    <row r="38">
      <c r="A38" s="8" t="inlineStr">
        <is>
          <t>Siniestro con fallecidos</t>
        </is>
      </c>
      <c r="B38" s="59" t="n">
        <v>120</v>
      </c>
      <c r="C38" s="59" t="n">
        <v>80</v>
      </c>
      <c r="D38" s="59" t="n">
        <v>60</v>
      </c>
      <c r="E38" s="49">
        <f>INDEX(B38:D38,1,$B$4)</f>
        <v/>
      </c>
      <c r="F38" s="7" t="inlineStr">
        <is>
          <t>horas (todo el proceso; puede ser mucho más)</t>
        </is>
      </c>
    </row>
    <row r="39">
      <c r="A39" s="8" t="inlineStr">
        <is>
          <t>Impugnación de citación (escrito + audiencia única + traslado)</t>
        </is>
      </c>
      <c r="B39" s="63" t="n">
        <v>3.5</v>
      </c>
      <c r="C39" s="63" t="n">
        <v>3</v>
      </c>
      <c r="D39" s="63" t="n">
        <v>2.5</v>
      </c>
      <c r="E39" s="49">
        <f>INDEX(B39:D39,1,$B$4)</f>
        <v/>
      </c>
      <c r="F39" s="7" t="inlineStr">
        <is>
          <t>horas; plazo de 3 días desde la citación (art. 644 COIP)</t>
        </is>
      </c>
    </row>
    <row r="40">
      <c r="A40" s="8" t="inlineStr">
        <is>
          <t>Monitoreo de multas por bus</t>
        </is>
      </c>
      <c r="B40" s="41" t="n">
        <v>0.15</v>
      </c>
      <c r="C40" s="41" t="n">
        <v>0.1</v>
      </c>
      <c r="D40" s="41" t="n">
        <v>0.08</v>
      </c>
      <c r="E40" s="39">
        <f>INDEX(B40:D40,1,$B$4)</f>
        <v/>
      </c>
      <c r="F40" s="7" t="inlineStr">
        <is>
          <t>horas/bus/mes (consulta por placa, alerta al dueño)</t>
        </is>
      </c>
    </row>
    <row r="41">
      <c r="A41" s="25" t="inlineStr">
        <is>
          <t>Gastos directos por evento (movilización, copias, notaría, trámites)</t>
        </is>
      </c>
      <c r="B41" s="26" t="n"/>
      <c r="C41" s="26" t="n"/>
      <c r="D41" s="26" t="n"/>
      <c r="E41" s="26" t="n"/>
      <c r="F41" s="26" t="n"/>
    </row>
    <row r="42">
      <c r="A42" s="8" t="inlineStr">
        <is>
          <t>Siniestro con daños materiales</t>
        </is>
      </c>
      <c r="B42" s="32" t="n">
        <v>40</v>
      </c>
      <c r="C42" s="32" t="n">
        <v>30</v>
      </c>
      <c r="D42" s="32" t="n">
        <v>25</v>
      </c>
      <c r="E42" s="11">
        <f>INDEX(B42:D42,1,$B$4)</f>
        <v/>
      </c>
      <c r="F42" s="7" t="inlineStr">
        <is>
          <t>USD/evento</t>
        </is>
      </c>
    </row>
    <row r="43">
      <c r="A43" s="8" t="inlineStr">
        <is>
          <t>Siniestro con lesionados</t>
        </is>
      </c>
      <c r="B43" s="32" t="n">
        <v>100</v>
      </c>
      <c r="C43" s="32" t="n">
        <v>80</v>
      </c>
      <c r="D43" s="32" t="n">
        <v>60</v>
      </c>
      <c r="E43" s="11">
        <f>INDEX(B43:D43,1,$B$4)</f>
        <v/>
      </c>
      <c r="F43" s="7" t="inlineStr">
        <is>
          <t>USD/evento</t>
        </is>
      </c>
    </row>
    <row r="44">
      <c r="A44" s="8" t="inlineStr">
        <is>
          <t>Siniestro con fallecidos</t>
        </is>
      </c>
      <c r="B44" s="32" t="n">
        <v>300</v>
      </c>
      <c r="C44" s="32" t="n">
        <v>250</v>
      </c>
      <c r="D44" s="32" t="n">
        <v>200</v>
      </c>
      <c r="E44" s="11">
        <f>INDEX(B44:D44,1,$B$4)</f>
        <v/>
      </c>
      <c r="F44" s="7" t="inlineStr">
        <is>
          <t>USD/evento (peritajes privados NO incluidos: los paga el cliente)</t>
        </is>
      </c>
    </row>
    <row r="45">
      <c r="A45" s="25" t="inlineStr">
        <is>
          <t>Equipo y costos fijos mensuales</t>
        </is>
      </c>
      <c r="B45" s="26" t="n"/>
      <c r="C45" s="26" t="n"/>
      <c r="D45" s="26" t="n"/>
      <c r="E45" s="26" t="n"/>
      <c r="F45" s="26" t="n"/>
    </row>
    <row r="46">
      <c r="A46" s="8" t="inlineStr">
        <is>
          <t>Costo empresa por abogado dedicado</t>
        </is>
      </c>
      <c r="B46" s="28" t="n">
        <v>1450</v>
      </c>
      <c r="C46" s="28" t="n">
        <v>1400</v>
      </c>
      <c r="D46" s="28" t="n">
        <v>1350</v>
      </c>
      <c r="E46" s="11">
        <f>INDEX(B46:D46,1,$B$4)</f>
        <v/>
      </c>
      <c r="F46" s="7" t="inlineStr">
        <is>
          <t>USD/mes: sueldo ~1.050 + aportes IESS, décimos, fondos de reserva y vacaciones [SUPUESTO]</t>
        </is>
      </c>
    </row>
    <row r="47">
      <c r="A47" s="8" t="inlineStr">
        <is>
          <t>Horas productivas por abogado</t>
        </is>
      </c>
      <c r="B47" s="60" t="n">
        <v>120</v>
      </c>
      <c r="C47" s="60" t="n">
        <v>130</v>
      </c>
      <c r="D47" s="60" t="n">
        <v>140</v>
      </c>
      <c r="E47" s="50">
        <f>INDEX(B47:D47,1,$B$4)</f>
        <v/>
      </c>
      <c r="F47" s="7" t="inlineStr">
        <is>
          <t>horas/mes</t>
        </is>
      </c>
    </row>
    <row r="48">
      <c r="A48" s="8" t="inlineStr">
        <is>
          <t>Abogados dedicados mínimos</t>
        </is>
      </c>
      <c r="B48" s="60" t="n">
        <v>1</v>
      </c>
      <c r="C48" s="60" t="n">
        <v>1</v>
      </c>
      <c r="D48" s="60" t="n">
        <v>1</v>
      </c>
      <c r="E48" s="50">
        <f>INDEX(B48:D48,1,$B$4)</f>
        <v/>
      </c>
      <c r="F48" s="7" t="inlineStr">
        <is>
          <t>por cobertura 24/7 se recomienda 2 desde ~6 cooperativas</t>
        </is>
      </c>
    </row>
    <row r="49">
      <c r="A49" s="8" t="inlineStr">
        <is>
          <t>Tiempo del socio (costo de oportunidad)</t>
        </is>
      </c>
      <c r="B49" s="28" t="n">
        <v>800</v>
      </c>
      <c r="C49" s="28" t="n">
        <v>800</v>
      </c>
      <c r="D49" s="28" t="n">
        <v>800</v>
      </c>
      <c r="E49" s="11">
        <f>INDEX(B49:D49,1,$B$4)</f>
        <v/>
      </c>
      <c r="F49" s="7" t="inlineStr">
        <is>
          <t>USD/mes: su tiempo NO es gratis</t>
        </is>
      </c>
    </row>
    <row r="50">
      <c r="A50" s="8" t="inlineStr">
        <is>
          <t>Asistente administrativa (medio tiempo)</t>
        </is>
      </c>
      <c r="B50" s="32" t="n">
        <v>300</v>
      </c>
      <c r="C50" s="32" t="n">
        <v>300</v>
      </c>
      <c r="D50" s="32" t="n">
        <v>300</v>
      </c>
      <c r="E50" s="11">
        <f>INDEX(B50:D50,1,$B$4)</f>
        <v/>
      </c>
      <c r="F50" s="7" t="inlineStr">
        <is>
          <t>USD/mes; modelo liviano dentro de la estructura actual de Jurix</t>
        </is>
      </c>
    </row>
    <row r="51">
      <c r="A51" s="8" t="inlineStr">
        <is>
          <t>Bono de guardia 24/7 (noches y fines de semana)</t>
        </is>
      </c>
      <c r="B51" s="32" t="n">
        <v>0</v>
      </c>
      <c r="C51" s="32" t="n">
        <v>0</v>
      </c>
      <c r="D51" s="32" t="n">
        <v>0</v>
      </c>
      <c r="E51" s="11">
        <f>INDEX(B51:D51,1,$B$4)</f>
        <v/>
      </c>
      <c r="F51" s="7" t="inlineStr">
        <is>
          <t>USD/mes; 0 porque hay pocos siniestros y los cubre el socio. Poner ~250 si se crece</t>
        </is>
      </c>
    </row>
    <row r="52">
      <c r="A52" s="8" t="inlineStr">
        <is>
          <t>Oficina (proporción)</t>
        </is>
      </c>
      <c r="B52" s="32" t="n">
        <v>0</v>
      </c>
      <c r="C52" s="32" t="n">
        <v>0</v>
      </c>
      <c r="D52" s="32" t="n">
        <v>0</v>
      </c>
      <c r="E52" s="11">
        <f>INDEX(B52:D52,1,$B$4)</f>
        <v/>
      </c>
      <c r="F52" s="7" t="inlineStr">
        <is>
          <t>USD/mes; 0 = usa la oficina actual de Jurix</t>
        </is>
      </c>
    </row>
    <row r="53">
      <c r="A53" s="8" t="inlineStr">
        <is>
          <t>Software, telefonía e internet</t>
        </is>
      </c>
      <c r="B53" s="32" t="n">
        <v>100</v>
      </c>
      <c r="C53" s="32" t="n">
        <v>100</v>
      </c>
      <c r="D53" s="32" t="n">
        <v>100</v>
      </c>
      <c r="E53" s="11">
        <f>INDEX(B53:D53,1,$B$4)</f>
        <v/>
      </c>
      <c r="F53" s="7" t="inlineStr">
        <is>
          <t>USD/mes</t>
        </is>
      </c>
    </row>
    <row r="54">
      <c r="A54" s="8" t="inlineStr">
        <is>
          <t>Movilización fija</t>
        </is>
      </c>
      <c r="B54" s="32" t="n">
        <v>150</v>
      </c>
      <c r="C54" s="32" t="n">
        <v>150</v>
      </c>
      <c r="D54" s="32" t="n">
        <v>150</v>
      </c>
      <c r="E54" s="11">
        <f>INDEX(B54:D54,1,$B$4)</f>
        <v/>
      </c>
      <c r="F54" s="7" t="inlineStr">
        <is>
          <t>USD/mes</t>
        </is>
      </c>
    </row>
    <row r="55">
      <c r="A55" s="8" t="inlineStr">
        <is>
          <t>Marketing y relaciones con las cooperativas</t>
        </is>
      </c>
      <c r="B55" s="32" t="n">
        <v>200</v>
      </c>
      <c r="C55" s="32" t="n">
        <v>200</v>
      </c>
      <c r="D55" s="32" t="n">
        <v>200</v>
      </c>
      <c r="E55" s="11">
        <f>INDEX(B55:D55,1,$B$4)</f>
        <v/>
      </c>
      <c r="F55" s="7" t="inlineStr">
        <is>
          <t>USD/mes</t>
        </is>
      </c>
    </row>
    <row r="56">
      <c r="A56" s="8" t="inlineStr">
        <is>
          <t>Contabilidad y otros</t>
        </is>
      </c>
      <c r="B56" s="32" t="n">
        <v>100</v>
      </c>
      <c r="C56" s="32" t="n">
        <v>100</v>
      </c>
      <c r="D56" s="32" t="n">
        <v>100</v>
      </c>
      <c r="E56" s="11">
        <f>INDEX(B56:D56,1,$B$4)</f>
        <v/>
      </c>
      <c r="F56" s="7" t="inlineStr">
        <is>
          <t>USD/mes</t>
        </is>
      </c>
    </row>
    <row r="57">
      <c r="A57" s="25" t="inlineStr">
        <is>
          <t>Inversión, impuestos y tasa de descuento</t>
        </is>
      </c>
      <c r="B57" s="26" t="n"/>
      <c r="C57" s="26" t="n"/>
      <c r="D57" s="26" t="n"/>
      <c r="E57" s="26" t="n"/>
      <c r="F57" s="26" t="n"/>
    </row>
    <row r="58">
      <c r="A58" s="8" t="inlineStr">
        <is>
          <t>Inversión inicial</t>
        </is>
      </c>
      <c r="B58" s="28" t="n">
        <v>5000</v>
      </c>
      <c r="C58" s="28" t="n">
        <v>5000</v>
      </c>
      <c r="D58" s="28" t="n">
        <v>5000</v>
      </c>
      <c r="E58" s="11">
        <f>INDEX(B58:D58,1,$B$4)</f>
        <v/>
      </c>
      <c r="F58" s="7" t="inlineStr">
        <is>
          <t>contratos y protocolos, sistema de monitoreo de multas, lanzamiento [SUPUESTO]</t>
        </is>
      </c>
    </row>
    <row r="59">
      <c r="A59" s="8" t="inlineStr">
        <is>
          <t>Tasa efectiva: 15% participación trabajadores + 25% IR</t>
        </is>
      </c>
      <c r="B59" s="58" t="n">
        <v>0.3625</v>
      </c>
      <c r="C59" s="58" t="n">
        <v>0.3625</v>
      </c>
      <c r="D59" s="58" t="n">
        <v>0.3625</v>
      </c>
      <c r="E59" s="44">
        <f>INDEX(B59:D59,1,$B$4)</f>
        <v/>
      </c>
      <c r="F59" s="7" t="inlineStr">
        <is>
          <t>si factura una sociedad; persona natural es distinto</t>
        </is>
      </c>
    </row>
    <row r="60">
      <c r="A60" s="8" t="inlineStr">
        <is>
          <t>Tasa de descuento anual (costo de oportunidad)</t>
        </is>
      </c>
      <c r="B60" s="58" t="n">
        <v>0.15</v>
      </c>
      <c r="C60" s="58" t="n">
        <v>0.15</v>
      </c>
      <c r="D60" s="58" t="n">
        <v>0.15</v>
      </c>
      <c r="E60" s="44">
        <f>INDEX(B60:D60,1,$B$4)</f>
        <v/>
      </c>
      <c r="F60" s="7" t="inlineStr">
        <is>
          <t>para el VAN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24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</cols>
  <sheetData>
    <row r="1">
      <c r="A1" s="1" t="inlineStr">
        <is>
          <t>Flujo de caja mensual (escenario activo)</t>
        </is>
      </c>
    </row>
    <row r="2">
      <c r="A2" s="5" t="inlineStr">
        <is>
          <t>Mes →</t>
        </is>
      </c>
    </row>
    <row r="3">
      <c r="A3" s="3" t="inlineStr">
        <is>
          <t>Concepto</t>
        </is>
      </c>
      <c r="B3" s="42" t="n">
        <v>0</v>
      </c>
      <c r="C3" s="42" t="n">
        <v>1</v>
      </c>
      <c r="D3" s="42" t="n">
        <v>2</v>
      </c>
      <c r="E3" s="42" t="n">
        <v>3</v>
      </c>
      <c r="F3" s="42" t="n">
        <v>4</v>
      </c>
      <c r="G3" s="42" t="n">
        <v>5</v>
      </c>
      <c r="H3" s="42" t="n">
        <v>6</v>
      </c>
      <c r="I3" s="42" t="n">
        <v>7</v>
      </c>
      <c r="J3" s="42" t="n">
        <v>8</v>
      </c>
      <c r="K3" s="42" t="n">
        <v>9</v>
      </c>
      <c r="L3" s="42" t="n">
        <v>10</v>
      </c>
      <c r="M3" s="42" t="n">
        <v>11</v>
      </c>
      <c r="N3" s="42" t="n">
        <v>12</v>
      </c>
      <c r="O3" s="42" t="n">
        <v>13</v>
      </c>
      <c r="P3" s="42" t="n">
        <v>14</v>
      </c>
      <c r="Q3" s="42" t="n">
        <v>15</v>
      </c>
      <c r="R3" s="42" t="n">
        <v>16</v>
      </c>
      <c r="S3" s="42" t="n">
        <v>17</v>
      </c>
      <c r="T3" s="42" t="n">
        <v>18</v>
      </c>
      <c r="U3" s="42" t="n">
        <v>19</v>
      </c>
      <c r="V3" s="42" t="n">
        <v>20</v>
      </c>
      <c r="W3" s="42" t="n">
        <v>21</v>
      </c>
      <c r="X3" s="42" t="n">
        <v>22</v>
      </c>
      <c r="Y3" s="42" t="n">
        <v>23</v>
      </c>
      <c r="Z3" s="42" t="n">
        <v>24</v>
      </c>
      <c r="AA3" s="42" t="n">
        <v>25</v>
      </c>
      <c r="AB3" s="42" t="n">
        <v>26</v>
      </c>
      <c r="AC3" s="42" t="n">
        <v>27</v>
      </c>
      <c r="AD3" s="42" t="n">
        <v>28</v>
      </c>
      <c r="AE3" s="42" t="n">
        <v>29</v>
      </c>
      <c r="AF3" s="42" t="n">
        <v>30</v>
      </c>
      <c r="AG3" s="42" t="n">
        <v>31</v>
      </c>
      <c r="AH3" s="42" t="n">
        <v>32</v>
      </c>
      <c r="AI3" s="42" t="n">
        <v>33</v>
      </c>
      <c r="AJ3" s="42" t="n">
        <v>34</v>
      </c>
      <c r="AK3" s="42" t="n">
        <v>35</v>
      </c>
      <c r="AL3" s="42" t="n">
        <v>36</v>
      </c>
    </row>
    <row r="4">
      <c r="A4" s="8" t="inlineStr">
        <is>
          <t>Cooperativas activas</t>
        </is>
      </c>
      <c r="B4" s="46" t="n">
        <v>0</v>
      </c>
      <c r="C4" s="46">
        <f>MIN(Supuestos!$E$27,B4*(1-Supuestos!$E$26/12)+Supuestos!$E$25)</f>
        <v/>
      </c>
      <c r="D4" s="46">
        <f>MIN(Supuestos!$E$27,C4*(1-Supuestos!$E$26/12)+Supuestos!$E$25)</f>
        <v/>
      </c>
      <c r="E4" s="46">
        <f>MIN(Supuestos!$E$27,D4*(1-Supuestos!$E$26/12)+Supuestos!$E$25)</f>
        <v/>
      </c>
      <c r="F4" s="46">
        <f>MIN(Supuestos!$E$27,E4*(1-Supuestos!$E$26/12)+Supuestos!$E$25)</f>
        <v/>
      </c>
      <c r="G4" s="46">
        <f>MIN(Supuestos!$E$27,F4*(1-Supuestos!$E$26/12)+Supuestos!$E$25)</f>
        <v/>
      </c>
      <c r="H4" s="46">
        <f>MIN(Supuestos!$E$27,G4*(1-Supuestos!$E$26/12)+Supuestos!$E$25)</f>
        <v/>
      </c>
      <c r="I4" s="46">
        <f>MIN(Supuestos!$E$27,H4*(1-Supuestos!$E$26/12)+Supuestos!$E$25)</f>
        <v/>
      </c>
      <c r="J4" s="46">
        <f>MIN(Supuestos!$E$27,I4*(1-Supuestos!$E$26/12)+Supuestos!$E$25)</f>
        <v/>
      </c>
      <c r="K4" s="46">
        <f>MIN(Supuestos!$E$27,J4*(1-Supuestos!$E$26/12)+Supuestos!$E$25)</f>
        <v/>
      </c>
      <c r="L4" s="46">
        <f>MIN(Supuestos!$E$27,K4*(1-Supuestos!$E$26/12)+Supuestos!$E$25)</f>
        <v/>
      </c>
      <c r="M4" s="46">
        <f>MIN(Supuestos!$E$27,L4*(1-Supuestos!$E$26/12)+Supuestos!$E$25)</f>
        <v/>
      </c>
      <c r="N4" s="46">
        <f>MIN(Supuestos!$E$27,M4*(1-Supuestos!$E$26/12)+Supuestos!$E$25)</f>
        <v/>
      </c>
      <c r="O4" s="46">
        <f>MIN(Supuestos!$E$27,N4*(1-Supuestos!$E$26/12)+Supuestos!$E$25)</f>
        <v/>
      </c>
      <c r="P4" s="46">
        <f>MIN(Supuestos!$E$27,O4*(1-Supuestos!$E$26/12)+Supuestos!$E$25)</f>
        <v/>
      </c>
      <c r="Q4" s="46">
        <f>MIN(Supuestos!$E$27,P4*(1-Supuestos!$E$26/12)+Supuestos!$E$25)</f>
        <v/>
      </c>
      <c r="R4" s="46">
        <f>MIN(Supuestos!$E$27,Q4*(1-Supuestos!$E$26/12)+Supuestos!$E$25)</f>
        <v/>
      </c>
      <c r="S4" s="46">
        <f>MIN(Supuestos!$E$27,R4*(1-Supuestos!$E$26/12)+Supuestos!$E$25)</f>
        <v/>
      </c>
      <c r="T4" s="46">
        <f>MIN(Supuestos!$E$27,S4*(1-Supuestos!$E$26/12)+Supuestos!$E$25)</f>
        <v/>
      </c>
      <c r="U4" s="46">
        <f>MIN(Supuestos!$E$27,T4*(1-Supuestos!$E$26/12)+Supuestos!$E$25)</f>
        <v/>
      </c>
      <c r="V4" s="46">
        <f>MIN(Supuestos!$E$27,U4*(1-Supuestos!$E$26/12)+Supuestos!$E$25)</f>
        <v/>
      </c>
      <c r="W4" s="46">
        <f>MIN(Supuestos!$E$27,V4*(1-Supuestos!$E$26/12)+Supuestos!$E$25)</f>
        <v/>
      </c>
      <c r="X4" s="46">
        <f>MIN(Supuestos!$E$27,W4*(1-Supuestos!$E$26/12)+Supuestos!$E$25)</f>
        <v/>
      </c>
      <c r="Y4" s="46">
        <f>MIN(Supuestos!$E$27,X4*(1-Supuestos!$E$26/12)+Supuestos!$E$25)</f>
        <v/>
      </c>
      <c r="Z4" s="46">
        <f>MIN(Supuestos!$E$27,Y4*(1-Supuestos!$E$26/12)+Supuestos!$E$25)</f>
        <v/>
      </c>
      <c r="AA4" s="46">
        <f>MIN(Supuestos!$E$27,Z4*(1-Supuestos!$E$26/12)+Supuestos!$E$25)</f>
        <v/>
      </c>
      <c r="AB4" s="46">
        <f>MIN(Supuestos!$E$27,AA4*(1-Supuestos!$E$26/12)+Supuestos!$E$25)</f>
        <v/>
      </c>
      <c r="AC4" s="46">
        <f>MIN(Supuestos!$E$27,AB4*(1-Supuestos!$E$26/12)+Supuestos!$E$25)</f>
        <v/>
      </c>
      <c r="AD4" s="46">
        <f>MIN(Supuestos!$E$27,AC4*(1-Supuestos!$E$26/12)+Supuestos!$E$25)</f>
        <v/>
      </c>
      <c r="AE4" s="46">
        <f>MIN(Supuestos!$E$27,AD4*(1-Supuestos!$E$26/12)+Supuestos!$E$25)</f>
        <v/>
      </c>
      <c r="AF4" s="46">
        <f>MIN(Supuestos!$E$27,AE4*(1-Supuestos!$E$26/12)+Supuestos!$E$25)</f>
        <v/>
      </c>
      <c r="AG4" s="46">
        <f>MIN(Supuestos!$E$27,AF4*(1-Supuestos!$E$26/12)+Supuestos!$E$25)</f>
        <v/>
      </c>
      <c r="AH4" s="46">
        <f>MIN(Supuestos!$E$27,AG4*(1-Supuestos!$E$26/12)+Supuestos!$E$25)</f>
        <v/>
      </c>
      <c r="AI4" s="46">
        <f>MIN(Supuestos!$E$27,AH4*(1-Supuestos!$E$26/12)+Supuestos!$E$25)</f>
        <v/>
      </c>
      <c r="AJ4" s="46">
        <f>MIN(Supuestos!$E$27,AI4*(1-Supuestos!$E$26/12)+Supuestos!$E$25)</f>
        <v/>
      </c>
      <c r="AK4" s="46">
        <f>MIN(Supuestos!$E$27,AJ4*(1-Supuestos!$E$26/12)+Supuestos!$E$25)</f>
        <v/>
      </c>
      <c r="AL4" s="46">
        <f>MIN(Supuestos!$E$27,AK4*(1-Supuestos!$E$26/12)+Supuestos!$E$25)</f>
        <v/>
      </c>
    </row>
    <row r="5">
      <c r="A5" s="8" t="inlineStr">
        <is>
          <t>Buses atendidos</t>
        </is>
      </c>
      <c r="B5" s="45" t="n">
        <v>0</v>
      </c>
      <c r="C5" s="45">
        <f>C4*Supuestos!$E$8</f>
        <v/>
      </c>
      <c r="D5" s="45">
        <f>D4*Supuestos!$E$8</f>
        <v/>
      </c>
      <c r="E5" s="45">
        <f>E4*Supuestos!$E$8</f>
        <v/>
      </c>
      <c r="F5" s="45">
        <f>F4*Supuestos!$E$8</f>
        <v/>
      </c>
      <c r="G5" s="45">
        <f>G4*Supuestos!$E$8</f>
        <v/>
      </c>
      <c r="H5" s="45">
        <f>H4*Supuestos!$E$8</f>
        <v/>
      </c>
      <c r="I5" s="45">
        <f>I4*Supuestos!$E$8</f>
        <v/>
      </c>
      <c r="J5" s="45">
        <f>J4*Supuestos!$E$8</f>
        <v/>
      </c>
      <c r="K5" s="45">
        <f>K4*Supuestos!$E$8</f>
        <v/>
      </c>
      <c r="L5" s="45">
        <f>L4*Supuestos!$E$8</f>
        <v/>
      </c>
      <c r="M5" s="45">
        <f>M4*Supuestos!$E$8</f>
        <v/>
      </c>
      <c r="N5" s="45">
        <f>N4*Supuestos!$E$8</f>
        <v/>
      </c>
      <c r="O5" s="45">
        <f>O4*Supuestos!$E$8</f>
        <v/>
      </c>
      <c r="P5" s="45">
        <f>P4*Supuestos!$E$8</f>
        <v/>
      </c>
      <c r="Q5" s="45">
        <f>Q4*Supuestos!$E$8</f>
        <v/>
      </c>
      <c r="R5" s="45">
        <f>R4*Supuestos!$E$8</f>
        <v/>
      </c>
      <c r="S5" s="45">
        <f>S4*Supuestos!$E$8</f>
        <v/>
      </c>
      <c r="T5" s="45">
        <f>T4*Supuestos!$E$8</f>
        <v/>
      </c>
      <c r="U5" s="45">
        <f>U4*Supuestos!$E$8</f>
        <v/>
      </c>
      <c r="V5" s="45">
        <f>V4*Supuestos!$E$8</f>
        <v/>
      </c>
      <c r="W5" s="45">
        <f>W4*Supuestos!$E$8</f>
        <v/>
      </c>
      <c r="X5" s="45">
        <f>X4*Supuestos!$E$8</f>
        <v/>
      </c>
      <c r="Y5" s="45">
        <f>Y4*Supuestos!$E$8</f>
        <v/>
      </c>
      <c r="Z5" s="45">
        <f>Z4*Supuestos!$E$8</f>
        <v/>
      </c>
      <c r="AA5" s="45">
        <f>AA4*Supuestos!$E$8</f>
        <v/>
      </c>
      <c r="AB5" s="45">
        <f>AB4*Supuestos!$E$8</f>
        <v/>
      </c>
      <c r="AC5" s="45">
        <f>AC4*Supuestos!$E$8</f>
        <v/>
      </c>
      <c r="AD5" s="45">
        <f>AD4*Supuestos!$E$8</f>
        <v/>
      </c>
      <c r="AE5" s="45">
        <f>AE4*Supuestos!$E$8</f>
        <v/>
      </c>
      <c r="AF5" s="45">
        <f>AF4*Supuestos!$E$8</f>
        <v/>
      </c>
      <c r="AG5" s="45">
        <f>AG4*Supuestos!$E$8</f>
        <v/>
      </c>
      <c r="AH5" s="45">
        <f>AH4*Supuestos!$E$8</f>
        <v/>
      </c>
      <c r="AI5" s="45">
        <f>AI4*Supuestos!$E$8</f>
        <v/>
      </c>
      <c r="AJ5" s="45">
        <f>AJ4*Supuestos!$E$8</f>
        <v/>
      </c>
      <c r="AK5" s="45">
        <f>AK4*Supuestos!$E$8</f>
        <v/>
      </c>
      <c r="AL5" s="45">
        <f>AL4*Supuestos!$E$8</f>
        <v/>
      </c>
    </row>
    <row r="6">
      <c r="A6" s="8" t="inlineStr">
        <is>
          <t>Factor de reajuste de precio</t>
        </is>
      </c>
      <c r="B6" s="64" t="n">
        <v>0</v>
      </c>
      <c r="C6" s="64">
        <f>(1+Supuestos!$E$21)^INT((C$3-1)/12)</f>
        <v/>
      </c>
      <c r="D6" s="64">
        <f>(1+Supuestos!$E$21)^INT((D$3-1)/12)</f>
        <v/>
      </c>
      <c r="E6" s="64">
        <f>(1+Supuestos!$E$21)^INT((E$3-1)/12)</f>
        <v/>
      </c>
      <c r="F6" s="64">
        <f>(1+Supuestos!$E$21)^INT((F$3-1)/12)</f>
        <v/>
      </c>
      <c r="G6" s="64">
        <f>(1+Supuestos!$E$21)^INT((G$3-1)/12)</f>
        <v/>
      </c>
      <c r="H6" s="64">
        <f>(1+Supuestos!$E$21)^INT((H$3-1)/12)</f>
        <v/>
      </c>
      <c r="I6" s="64">
        <f>(1+Supuestos!$E$21)^INT((I$3-1)/12)</f>
        <v/>
      </c>
      <c r="J6" s="64">
        <f>(1+Supuestos!$E$21)^INT((J$3-1)/12)</f>
        <v/>
      </c>
      <c r="K6" s="64">
        <f>(1+Supuestos!$E$21)^INT((K$3-1)/12)</f>
        <v/>
      </c>
      <c r="L6" s="64">
        <f>(1+Supuestos!$E$21)^INT((L$3-1)/12)</f>
        <v/>
      </c>
      <c r="M6" s="64">
        <f>(1+Supuestos!$E$21)^INT((M$3-1)/12)</f>
        <v/>
      </c>
      <c r="N6" s="64">
        <f>(1+Supuestos!$E$21)^INT((N$3-1)/12)</f>
        <v/>
      </c>
      <c r="O6" s="64">
        <f>(1+Supuestos!$E$21)^INT((O$3-1)/12)</f>
        <v/>
      </c>
      <c r="P6" s="64">
        <f>(1+Supuestos!$E$21)^INT((P$3-1)/12)</f>
        <v/>
      </c>
      <c r="Q6" s="64">
        <f>(1+Supuestos!$E$21)^INT((Q$3-1)/12)</f>
        <v/>
      </c>
      <c r="R6" s="64">
        <f>(1+Supuestos!$E$21)^INT((R$3-1)/12)</f>
        <v/>
      </c>
      <c r="S6" s="64">
        <f>(1+Supuestos!$E$21)^INT((S$3-1)/12)</f>
        <v/>
      </c>
      <c r="T6" s="64">
        <f>(1+Supuestos!$E$21)^INT((T$3-1)/12)</f>
        <v/>
      </c>
      <c r="U6" s="64">
        <f>(1+Supuestos!$E$21)^INT((U$3-1)/12)</f>
        <v/>
      </c>
      <c r="V6" s="64">
        <f>(1+Supuestos!$E$21)^INT((V$3-1)/12)</f>
        <v/>
      </c>
      <c r="W6" s="64">
        <f>(1+Supuestos!$E$21)^INT((W$3-1)/12)</f>
        <v/>
      </c>
      <c r="X6" s="64">
        <f>(1+Supuestos!$E$21)^INT((X$3-1)/12)</f>
        <v/>
      </c>
      <c r="Y6" s="64">
        <f>(1+Supuestos!$E$21)^INT((Y$3-1)/12)</f>
        <v/>
      </c>
      <c r="Z6" s="64">
        <f>(1+Supuestos!$E$21)^INT((Z$3-1)/12)</f>
        <v/>
      </c>
      <c r="AA6" s="64">
        <f>(1+Supuestos!$E$21)^INT((AA$3-1)/12)</f>
        <v/>
      </c>
      <c r="AB6" s="64">
        <f>(1+Supuestos!$E$21)^INT((AB$3-1)/12)</f>
        <v/>
      </c>
      <c r="AC6" s="64">
        <f>(1+Supuestos!$E$21)^INT((AC$3-1)/12)</f>
        <v/>
      </c>
      <c r="AD6" s="64">
        <f>(1+Supuestos!$E$21)^INT((AD$3-1)/12)</f>
        <v/>
      </c>
      <c r="AE6" s="64">
        <f>(1+Supuestos!$E$21)^INT((AE$3-1)/12)</f>
        <v/>
      </c>
      <c r="AF6" s="64">
        <f>(1+Supuestos!$E$21)^INT((AF$3-1)/12)</f>
        <v/>
      </c>
      <c r="AG6" s="64">
        <f>(1+Supuestos!$E$21)^INT((AG$3-1)/12)</f>
        <v/>
      </c>
      <c r="AH6" s="64">
        <f>(1+Supuestos!$E$21)^INT((AH$3-1)/12)</f>
        <v/>
      </c>
      <c r="AI6" s="64">
        <f>(1+Supuestos!$E$21)^INT((AI$3-1)/12)</f>
        <v/>
      </c>
      <c r="AJ6" s="64">
        <f>(1+Supuestos!$E$21)^INT((AJ$3-1)/12)</f>
        <v/>
      </c>
      <c r="AK6" s="64">
        <f>(1+Supuestos!$E$21)^INT((AK$3-1)/12)</f>
        <v/>
      </c>
      <c r="AL6" s="64">
        <f>(1+Supuestos!$E$21)^INT((AL$3-1)/12)</f>
        <v/>
      </c>
    </row>
    <row r="7">
      <c r="A7" s="8" t="inlineStr">
        <is>
          <t>Ingreso facturado</t>
        </is>
      </c>
      <c r="B7" s="13" t="n">
        <v>0</v>
      </c>
      <c r="C7" s="13">
        <f>(C4*Supuestos!$E$9+C5*Supuestos!$E$10)*C6*(1-Supuestos!$E$22*Supuestos!$E$23)</f>
        <v/>
      </c>
      <c r="D7" s="13">
        <f>(D4*Supuestos!$E$9+D5*Supuestos!$E$10)*D6*(1-Supuestos!$E$22*Supuestos!$E$23)</f>
        <v/>
      </c>
      <c r="E7" s="13">
        <f>(E4*Supuestos!$E$9+E5*Supuestos!$E$10)*E6*(1-Supuestos!$E$22*Supuestos!$E$23)</f>
        <v/>
      </c>
      <c r="F7" s="13">
        <f>(F4*Supuestos!$E$9+F5*Supuestos!$E$10)*F6*(1-Supuestos!$E$22*Supuestos!$E$23)</f>
        <v/>
      </c>
      <c r="G7" s="13">
        <f>(G4*Supuestos!$E$9+G5*Supuestos!$E$10)*G6*(1-Supuestos!$E$22*Supuestos!$E$23)</f>
        <v/>
      </c>
      <c r="H7" s="13">
        <f>(H4*Supuestos!$E$9+H5*Supuestos!$E$10)*H6*(1-Supuestos!$E$22*Supuestos!$E$23)</f>
        <v/>
      </c>
      <c r="I7" s="13">
        <f>(I4*Supuestos!$E$9+I5*Supuestos!$E$10)*I6*(1-Supuestos!$E$22*Supuestos!$E$23)</f>
        <v/>
      </c>
      <c r="J7" s="13">
        <f>(J4*Supuestos!$E$9+J5*Supuestos!$E$10)*J6*(1-Supuestos!$E$22*Supuestos!$E$23)</f>
        <v/>
      </c>
      <c r="K7" s="13">
        <f>(K4*Supuestos!$E$9+K5*Supuestos!$E$10)*K6*(1-Supuestos!$E$22*Supuestos!$E$23)</f>
        <v/>
      </c>
      <c r="L7" s="13">
        <f>(L4*Supuestos!$E$9+L5*Supuestos!$E$10)*L6*(1-Supuestos!$E$22*Supuestos!$E$23)</f>
        <v/>
      </c>
      <c r="M7" s="13">
        <f>(M4*Supuestos!$E$9+M5*Supuestos!$E$10)*M6*(1-Supuestos!$E$22*Supuestos!$E$23)</f>
        <v/>
      </c>
      <c r="N7" s="13">
        <f>(N4*Supuestos!$E$9+N5*Supuestos!$E$10)*N6*(1-Supuestos!$E$22*Supuestos!$E$23)</f>
        <v/>
      </c>
      <c r="O7" s="13">
        <f>(O4*Supuestos!$E$9+O5*Supuestos!$E$10)*O6*(1-Supuestos!$E$22*Supuestos!$E$23)</f>
        <v/>
      </c>
      <c r="P7" s="13">
        <f>(P4*Supuestos!$E$9+P5*Supuestos!$E$10)*P6*(1-Supuestos!$E$22*Supuestos!$E$23)</f>
        <v/>
      </c>
      <c r="Q7" s="13">
        <f>(Q4*Supuestos!$E$9+Q5*Supuestos!$E$10)*Q6*(1-Supuestos!$E$22*Supuestos!$E$23)</f>
        <v/>
      </c>
      <c r="R7" s="13">
        <f>(R4*Supuestos!$E$9+R5*Supuestos!$E$10)*R6*(1-Supuestos!$E$22*Supuestos!$E$23)</f>
        <v/>
      </c>
      <c r="S7" s="13">
        <f>(S4*Supuestos!$E$9+S5*Supuestos!$E$10)*S6*(1-Supuestos!$E$22*Supuestos!$E$23)</f>
        <v/>
      </c>
      <c r="T7" s="13">
        <f>(T4*Supuestos!$E$9+T5*Supuestos!$E$10)*T6*(1-Supuestos!$E$22*Supuestos!$E$23)</f>
        <v/>
      </c>
      <c r="U7" s="13">
        <f>(U4*Supuestos!$E$9+U5*Supuestos!$E$10)*U6*(1-Supuestos!$E$22*Supuestos!$E$23)</f>
        <v/>
      </c>
      <c r="V7" s="13">
        <f>(V4*Supuestos!$E$9+V5*Supuestos!$E$10)*V6*(1-Supuestos!$E$22*Supuestos!$E$23)</f>
        <v/>
      </c>
      <c r="W7" s="13">
        <f>(W4*Supuestos!$E$9+W5*Supuestos!$E$10)*W6*(1-Supuestos!$E$22*Supuestos!$E$23)</f>
        <v/>
      </c>
      <c r="X7" s="13">
        <f>(X4*Supuestos!$E$9+X5*Supuestos!$E$10)*X6*(1-Supuestos!$E$22*Supuestos!$E$23)</f>
        <v/>
      </c>
      <c r="Y7" s="13">
        <f>(Y4*Supuestos!$E$9+Y5*Supuestos!$E$10)*Y6*(1-Supuestos!$E$22*Supuestos!$E$23)</f>
        <v/>
      </c>
      <c r="Z7" s="13">
        <f>(Z4*Supuestos!$E$9+Z5*Supuestos!$E$10)*Z6*(1-Supuestos!$E$22*Supuestos!$E$23)</f>
        <v/>
      </c>
      <c r="AA7" s="13">
        <f>(AA4*Supuestos!$E$9+AA5*Supuestos!$E$10)*AA6*(1-Supuestos!$E$22*Supuestos!$E$23)</f>
        <v/>
      </c>
      <c r="AB7" s="13">
        <f>(AB4*Supuestos!$E$9+AB5*Supuestos!$E$10)*AB6*(1-Supuestos!$E$22*Supuestos!$E$23)</f>
        <v/>
      </c>
      <c r="AC7" s="13">
        <f>(AC4*Supuestos!$E$9+AC5*Supuestos!$E$10)*AC6*(1-Supuestos!$E$22*Supuestos!$E$23)</f>
        <v/>
      </c>
      <c r="AD7" s="13">
        <f>(AD4*Supuestos!$E$9+AD5*Supuestos!$E$10)*AD6*(1-Supuestos!$E$22*Supuestos!$E$23)</f>
        <v/>
      </c>
      <c r="AE7" s="13">
        <f>(AE4*Supuestos!$E$9+AE5*Supuestos!$E$10)*AE6*(1-Supuestos!$E$22*Supuestos!$E$23)</f>
        <v/>
      </c>
      <c r="AF7" s="13">
        <f>(AF4*Supuestos!$E$9+AF5*Supuestos!$E$10)*AF6*(1-Supuestos!$E$22*Supuestos!$E$23)</f>
        <v/>
      </c>
      <c r="AG7" s="13">
        <f>(AG4*Supuestos!$E$9+AG5*Supuestos!$E$10)*AG6*(1-Supuestos!$E$22*Supuestos!$E$23)</f>
        <v/>
      </c>
      <c r="AH7" s="13">
        <f>(AH4*Supuestos!$E$9+AH5*Supuestos!$E$10)*AH6*(1-Supuestos!$E$22*Supuestos!$E$23)</f>
        <v/>
      </c>
      <c r="AI7" s="13">
        <f>(AI4*Supuestos!$E$9+AI5*Supuestos!$E$10)*AI6*(1-Supuestos!$E$22*Supuestos!$E$23)</f>
        <v/>
      </c>
      <c r="AJ7" s="13">
        <f>(AJ4*Supuestos!$E$9+AJ5*Supuestos!$E$10)*AJ6*(1-Supuestos!$E$22*Supuestos!$E$23)</f>
        <v/>
      </c>
      <c r="AK7" s="13">
        <f>(AK4*Supuestos!$E$9+AK5*Supuestos!$E$10)*AK6*(1-Supuestos!$E$22*Supuestos!$E$23)</f>
        <v/>
      </c>
      <c r="AL7" s="13">
        <f>(AL4*Supuestos!$E$9+AL5*Supuestos!$E$10)*AL6*(1-Supuestos!$E$22*Supuestos!$E$23)</f>
        <v/>
      </c>
    </row>
    <row r="8">
      <c r="A8" s="5" t="inlineStr">
        <is>
          <t>Ingreso cobrado</t>
        </is>
      </c>
      <c r="B8" s="11" t="n">
        <v>0</v>
      </c>
      <c r="C8" s="11">
        <f>C7*(1-Supuestos!$E$24)</f>
        <v/>
      </c>
      <c r="D8" s="11">
        <f>D7*(1-Supuestos!$E$24)</f>
        <v/>
      </c>
      <c r="E8" s="11">
        <f>E7*(1-Supuestos!$E$24)</f>
        <v/>
      </c>
      <c r="F8" s="11">
        <f>F7*(1-Supuestos!$E$24)</f>
        <v/>
      </c>
      <c r="G8" s="11">
        <f>G7*(1-Supuestos!$E$24)</f>
        <v/>
      </c>
      <c r="H8" s="11">
        <f>H7*(1-Supuestos!$E$24)</f>
        <v/>
      </c>
      <c r="I8" s="11">
        <f>I7*(1-Supuestos!$E$24)</f>
        <v/>
      </c>
      <c r="J8" s="11">
        <f>J7*(1-Supuestos!$E$24)</f>
        <v/>
      </c>
      <c r="K8" s="11">
        <f>K7*(1-Supuestos!$E$24)</f>
        <v/>
      </c>
      <c r="L8" s="11">
        <f>L7*(1-Supuestos!$E$24)</f>
        <v/>
      </c>
      <c r="M8" s="11">
        <f>M7*(1-Supuestos!$E$24)</f>
        <v/>
      </c>
      <c r="N8" s="11">
        <f>N7*(1-Supuestos!$E$24)</f>
        <v/>
      </c>
      <c r="O8" s="11">
        <f>O7*(1-Supuestos!$E$24)</f>
        <v/>
      </c>
      <c r="P8" s="11">
        <f>P7*(1-Supuestos!$E$24)</f>
        <v/>
      </c>
      <c r="Q8" s="11">
        <f>Q7*(1-Supuestos!$E$24)</f>
        <v/>
      </c>
      <c r="R8" s="11">
        <f>R7*(1-Supuestos!$E$24)</f>
        <v/>
      </c>
      <c r="S8" s="11">
        <f>S7*(1-Supuestos!$E$24)</f>
        <v/>
      </c>
      <c r="T8" s="11">
        <f>T7*(1-Supuestos!$E$24)</f>
        <v/>
      </c>
      <c r="U8" s="11">
        <f>U7*(1-Supuestos!$E$24)</f>
        <v/>
      </c>
      <c r="V8" s="11">
        <f>V7*(1-Supuestos!$E$24)</f>
        <v/>
      </c>
      <c r="W8" s="11">
        <f>W7*(1-Supuestos!$E$24)</f>
        <v/>
      </c>
      <c r="X8" s="11">
        <f>X7*(1-Supuestos!$E$24)</f>
        <v/>
      </c>
      <c r="Y8" s="11">
        <f>Y7*(1-Supuestos!$E$24)</f>
        <v/>
      </c>
      <c r="Z8" s="11">
        <f>Z7*(1-Supuestos!$E$24)</f>
        <v/>
      </c>
      <c r="AA8" s="11">
        <f>AA7*(1-Supuestos!$E$24)</f>
        <v/>
      </c>
      <c r="AB8" s="11">
        <f>AB7*(1-Supuestos!$E$24)</f>
        <v/>
      </c>
      <c r="AC8" s="11">
        <f>AC7*(1-Supuestos!$E$24)</f>
        <v/>
      </c>
      <c r="AD8" s="11">
        <f>AD7*(1-Supuestos!$E$24)</f>
        <v/>
      </c>
      <c r="AE8" s="11">
        <f>AE7*(1-Supuestos!$E$24)</f>
        <v/>
      </c>
      <c r="AF8" s="11">
        <f>AF7*(1-Supuestos!$E$24)</f>
        <v/>
      </c>
      <c r="AG8" s="11">
        <f>AG7*(1-Supuestos!$E$24)</f>
        <v/>
      </c>
      <c r="AH8" s="11">
        <f>AH7*(1-Supuestos!$E$24)</f>
        <v/>
      </c>
      <c r="AI8" s="11">
        <f>AI7*(1-Supuestos!$E$24)</f>
        <v/>
      </c>
      <c r="AJ8" s="11">
        <f>AJ7*(1-Supuestos!$E$24)</f>
        <v/>
      </c>
      <c r="AK8" s="11">
        <f>AK7*(1-Supuestos!$E$24)</f>
        <v/>
      </c>
      <c r="AL8" s="11">
        <f>AL7*(1-Supuestos!$E$24)</f>
        <v/>
      </c>
    </row>
    <row r="9">
      <c r="A9" s="8" t="inlineStr">
        <is>
          <t>Honorarios por caso cobrados</t>
        </is>
      </c>
      <c r="B9" s="13" t="n">
        <v>0</v>
      </c>
      <c r="C9" s="13">
        <f>(C10*Supuestos!$E$12+C11*Supuestos!$E$13+C12*Supuestos!$E$14+C14*Supuestos!$E$11)*C6*Supuestos!$E$15</f>
        <v/>
      </c>
      <c r="D9" s="13">
        <f>(D10*Supuestos!$E$12+D11*Supuestos!$E$13+D12*Supuestos!$E$14+D14*Supuestos!$E$11)*D6*Supuestos!$E$15</f>
        <v/>
      </c>
      <c r="E9" s="13">
        <f>(E10*Supuestos!$E$12+E11*Supuestos!$E$13+E12*Supuestos!$E$14+E14*Supuestos!$E$11)*E6*Supuestos!$E$15</f>
        <v/>
      </c>
      <c r="F9" s="13">
        <f>(F10*Supuestos!$E$12+F11*Supuestos!$E$13+F12*Supuestos!$E$14+F14*Supuestos!$E$11)*F6*Supuestos!$E$15</f>
        <v/>
      </c>
      <c r="G9" s="13">
        <f>(G10*Supuestos!$E$12+G11*Supuestos!$E$13+G12*Supuestos!$E$14+G14*Supuestos!$E$11)*G6*Supuestos!$E$15</f>
        <v/>
      </c>
      <c r="H9" s="13">
        <f>(H10*Supuestos!$E$12+H11*Supuestos!$E$13+H12*Supuestos!$E$14+H14*Supuestos!$E$11)*H6*Supuestos!$E$15</f>
        <v/>
      </c>
      <c r="I9" s="13">
        <f>(I10*Supuestos!$E$12+I11*Supuestos!$E$13+I12*Supuestos!$E$14+I14*Supuestos!$E$11)*I6*Supuestos!$E$15</f>
        <v/>
      </c>
      <c r="J9" s="13">
        <f>(J10*Supuestos!$E$12+J11*Supuestos!$E$13+J12*Supuestos!$E$14+J14*Supuestos!$E$11)*J6*Supuestos!$E$15</f>
        <v/>
      </c>
      <c r="K9" s="13">
        <f>(K10*Supuestos!$E$12+K11*Supuestos!$E$13+K12*Supuestos!$E$14+K14*Supuestos!$E$11)*K6*Supuestos!$E$15</f>
        <v/>
      </c>
      <c r="L9" s="13">
        <f>(L10*Supuestos!$E$12+L11*Supuestos!$E$13+L12*Supuestos!$E$14+L14*Supuestos!$E$11)*L6*Supuestos!$E$15</f>
        <v/>
      </c>
      <c r="M9" s="13">
        <f>(M10*Supuestos!$E$12+M11*Supuestos!$E$13+M12*Supuestos!$E$14+M14*Supuestos!$E$11)*M6*Supuestos!$E$15</f>
        <v/>
      </c>
      <c r="N9" s="13">
        <f>(N10*Supuestos!$E$12+N11*Supuestos!$E$13+N12*Supuestos!$E$14+N14*Supuestos!$E$11)*N6*Supuestos!$E$15</f>
        <v/>
      </c>
      <c r="O9" s="13">
        <f>(O10*Supuestos!$E$12+O11*Supuestos!$E$13+O12*Supuestos!$E$14+O14*Supuestos!$E$11)*O6*Supuestos!$E$15</f>
        <v/>
      </c>
      <c r="P9" s="13">
        <f>(P10*Supuestos!$E$12+P11*Supuestos!$E$13+P12*Supuestos!$E$14+P14*Supuestos!$E$11)*P6*Supuestos!$E$15</f>
        <v/>
      </c>
      <c r="Q9" s="13">
        <f>(Q10*Supuestos!$E$12+Q11*Supuestos!$E$13+Q12*Supuestos!$E$14+Q14*Supuestos!$E$11)*Q6*Supuestos!$E$15</f>
        <v/>
      </c>
      <c r="R9" s="13">
        <f>(R10*Supuestos!$E$12+R11*Supuestos!$E$13+R12*Supuestos!$E$14+R14*Supuestos!$E$11)*R6*Supuestos!$E$15</f>
        <v/>
      </c>
      <c r="S9" s="13">
        <f>(S10*Supuestos!$E$12+S11*Supuestos!$E$13+S12*Supuestos!$E$14+S14*Supuestos!$E$11)*S6*Supuestos!$E$15</f>
        <v/>
      </c>
      <c r="T9" s="13">
        <f>(T10*Supuestos!$E$12+T11*Supuestos!$E$13+T12*Supuestos!$E$14+T14*Supuestos!$E$11)*T6*Supuestos!$E$15</f>
        <v/>
      </c>
      <c r="U9" s="13">
        <f>(U10*Supuestos!$E$12+U11*Supuestos!$E$13+U12*Supuestos!$E$14+U14*Supuestos!$E$11)*U6*Supuestos!$E$15</f>
        <v/>
      </c>
      <c r="V9" s="13">
        <f>(V10*Supuestos!$E$12+V11*Supuestos!$E$13+V12*Supuestos!$E$14+V14*Supuestos!$E$11)*V6*Supuestos!$E$15</f>
        <v/>
      </c>
      <c r="W9" s="13">
        <f>(W10*Supuestos!$E$12+W11*Supuestos!$E$13+W12*Supuestos!$E$14+W14*Supuestos!$E$11)*W6*Supuestos!$E$15</f>
        <v/>
      </c>
      <c r="X9" s="13">
        <f>(X10*Supuestos!$E$12+X11*Supuestos!$E$13+X12*Supuestos!$E$14+X14*Supuestos!$E$11)*X6*Supuestos!$E$15</f>
        <v/>
      </c>
      <c r="Y9" s="13">
        <f>(Y10*Supuestos!$E$12+Y11*Supuestos!$E$13+Y12*Supuestos!$E$14+Y14*Supuestos!$E$11)*Y6*Supuestos!$E$15</f>
        <v/>
      </c>
      <c r="Z9" s="13">
        <f>(Z10*Supuestos!$E$12+Z11*Supuestos!$E$13+Z12*Supuestos!$E$14+Z14*Supuestos!$E$11)*Z6*Supuestos!$E$15</f>
        <v/>
      </c>
      <c r="AA9" s="13">
        <f>(AA10*Supuestos!$E$12+AA11*Supuestos!$E$13+AA12*Supuestos!$E$14+AA14*Supuestos!$E$11)*AA6*Supuestos!$E$15</f>
        <v/>
      </c>
      <c r="AB9" s="13">
        <f>(AB10*Supuestos!$E$12+AB11*Supuestos!$E$13+AB12*Supuestos!$E$14+AB14*Supuestos!$E$11)*AB6*Supuestos!$E$15</f>
        <v/>
      </c>
      <c r="AC9" s="13">
        <f>(AC10*Supuestos!$E$12+AC11*Supuestos!$E$13+AC12*Supuestos!$E$14+AC14*Supuestos!$E$11)*AC6*Supuestos!$E$15</f>
        <v/>
      </c>
      <c r="AD9" s="13">
        <f>(AD10*Supuestos!$E$12+AD11*Supuestos!$E$13+AD12*Supuestos!$E$14+AD14*Supuestos!$E$11)*AD6*Supuestos!$E$15</f>
        <v/>
      </c>
      <c r="AE9" s="13">
        <f>(AE10*Supuestos!$E$12+AE11*Supuestos!$E$13+AE12*Supuestos!$E$14+AE14*Supuestos!$E$11)*AE6*Supuestos!$E$15</f>
        <v/>
      </c>
      <c r="AF9" s="13">
        <f>(AF10*Supuestos!$E$12+AF11*Supuestos!$E$13+AF12*Supuestos!$E$14+AF14*Supuestos!$E$11)*AF6*Supuestos!$E$15</f>
        <v/>
      </c>
      <c r="AG9" s="13">
        <f>(AG10*Supuestos!$E$12+AG11*Supuestos!$E$13+AG12*Supuestos!$E$14+AG14*Supuestos!$E$11)*AG6*Supuestos!$E$15</f>
        <v/>
      </c>
      <c r="AH9" s="13">
        <f>(AH10*Supuestos!$E$12+AH11*Supuestos!$E$13+AH12*Supuestos!$E$14+AH14*Supuestos!$E$11)*AH6*Supuestos!$E$15</f>
        <v/>
      </c>
      <c r="AI9" s="13">
        <f>(AI10*Supuestos!$E$12+AI11*Supuestos!$E$13+AI12*Supuestos!$E$14+AI14*Supuestos!$E$11)*AI6*Supuestos!$E$15</f>
        <v/>
      </c>
      <c r="AJ9" s="13">
        <f>(AJ10*Supuestos!$E$12+AJ11*Supuestos!$E$13+AJ12*Supuestos!$E$14+AJ14*Supuestos!$E$11)*AJ6*Supuestos!$E$15</f>
        <v/>
      </c>
      <c r="AK9" s="13">
        <f>(AK10*Supuestos!$E$12+AK11*Supuestos!$E$13+AK12*Supuestos!$E$14+AK14*Supuestos!$E$11)*AK6*Supuestos!$E$15</f>
        <v/>
      </c>
      <c r="AL9" s="13">
        <f>(AL10*Supuestos!$E$12+AL11*Supuestos!$E$13+AL12*Supuestos!$E$14+AL14*Supuestos!$E$11)*AL6*Supuestos!$E$15</f>
        <v/>
      </c>
    </row>
    <row r="10">
      <c r="A10" s="8" t="inlineStr">
        <is>
          <t>Siniestros materiales</t>
        </is>
      </c>
      <c r="B10" s="46" t="n">
        <v>0</v>
      </c>
      <c r="C10" s="46">
        <f>C5*Supuestos!$E$29/12</f>
        <v/>
      </c>
      <c r="D10" s="46">
        <f>D5*Supuestos!$E$29/12</f>
        <v/>
      </c>
      <c r="E10" s="46">
        <f>E5*Supuestos!$E$29/12</f>
        <v/>
      </c>
      <c r="F10" s="46">
        <f>F5*Supuestos!$E$29/12</f>
        <v/>
      </c>
      <c r="G10" s="46">
        <f>G5*Supuestos!$E$29/12</f>
        <v/>
      </c>
      <c r="H10" s="46">
        <f>H5*Supuestos!$E$29/12</f>
        <v/>
      </c>
      <c r="I10" s="46">
        <f>I5*Supuestos!$E$29/12</f>
        <v/>
      </c>
      <c r="J10" s="46">
        <f>J5*Supuestos!$E$29/12</f>
        <v/>
      </c>
      <c r="K10" s="46">
        <f>K5*Supuestos!$E$29/12</f>
        <v/>
      </c>
      <c r="L10" s="46">
        <f>L5*Supuestos!$E$29/12</f>
        <v/>
      </c>
      <c r="M10" s="46">
        <f>M5*Supuestos!$E$29/12</f>
        <v/>
      </c>
      <c r="N10" s="46">
        <f>N5*Supuestos!$E$29/12</f>
        <v/>
      </c>
      <c r="O10" s="46">
        <f>O5*Supuestos!$E$29/12</f>
        <v/>
      </c>
      <c r="P10" s="46">
        <f>P5*Supuestos!$E$29/12</f>
        <v/>
      </c>
      <c r="Q10" s="46">
        <f>Q5*Supuestos!$E$29/12</f>
        <v/>
      </c>
      <c r="R10" s="46">
        <f>R5*Supuestos!$E$29/12</f>
        <v/>
      </c>
      <c r="S10" s="46">
        <f>S5*Supuestos!$E$29/12</f>
        <v/>
      </c>
      <c r="T10" s="46">
        <f>T5*Supuestos!$E$29/12</f>
        <v/>
      </c>
      <c r="U10" s="46">
        <f>U5*Supuestos!$E$29/12</f>
        <v/>
      </c>
      <c r="V10" s="46">
        <f>V5*Supuestos!$E$29/12</f>
        <v/>
      </c>
      <c r="W10" s="46">
        <f>W5*Supuestos!$E$29/12</f>
        <v/>
      </c>
      <c r="X10" s="46">
        <f>X5*Supuestos!$E$29/12</f>
        <v/>
      </c>
      <c r="Y10" s="46">
        <f>Y5*Supuestos!$E$29/12</f>
        <v/>
      </c>
      <c r="Z10" s="46">
        <f>Z5*Supuestos!$E$29/12</f>
        <v/>
      </c>
      <c r="AA10" s="46">
        <f>AA5*Supuestos!$E$29/12</f>
        <v/>
      </c>
      <c r="AB10" s="46">
        <f>AB5*Supuestos!$E$29/12</f>
        <v/>
      </c>
      <c r="AC10" s="46">
        <f>AC5*Supuestos!$E$29/12</f>
        <v/>
      </c>
      <c r="AD10" s="46">
        <f>AD5*Supuestos!$E$29/12</f>
        <v/>
      </c>
      <c r="AE10" s="46">
        <f>AE5*Supuestos!$E$29/12</f>
        <v/>
      </c>
      <c r="AF10" s="46">
        <f>AF5*Supuestos!$E$29/12</f>
        <v/>
      </c>
      <c r="AG10" s="46">
        <f>AG5*Supuestos!$E$29/12</f>
        <v/>
      </c>
      <c r="AH10" s="46">
        <f>AH5*Supuestos!$E$29/12</f>
        <v/>
      </c>
      <c r="AI10" s="46">
        <f>AI5*Supuestos!$E$29/12</f>
        <v/>
      </c>
      <c r="AJ10" s="46">
        <f>AJ5*Supuestos!$E$29/12</f>
        <v/>
      </c>
      <c r="AK10" s="46">
        <f>AK5*Supuestos!$E$29/12</f>
        <v/>
      </c>
      <c r="AL10" s="46">
        <f>AL5*Supuestos!$E$29/12</f>
        <v/>
      </c>
    </row>
    <row r="11">
      <c r="A11" s="8" t="inlineStr">
        <is>
          <t>Siniestros con lesionados</t>
        </is>
      </c>
      <c r="B11" s="46" t="n">
        <v>0</v>
      </c>
      <c r="C11" s="46">
        <f>C5*Supuestos!$E$30/12</f>
        <v/>
      </c>
      <c r="D11" s="46">
        <f>D5*Supuestos!$E$30/12</f>
        <v/>
      </c>
      <c r="E11" s="46">
        <f>E5*Supuestos!$E$30/12</f>
        <v/>
      </c>
      <c r="F11" s="46">
        <f>F5*Supuestos!$E$30/12</f>
        <v/>
      </c>
      <c r="G11" s="46">
        <f>G5*Supuestos!$E$30/12</f>
        <v/>
      </c>
      <c r="H11" s="46">
        <f>H5*Supuestos!$E$30/12</f>
        <v/>
      </c>
      <c r="I11" s="46">
        <f>I5*Supuestos!$E$30/12</f>
        <v/>
      </c>
      <c r="J11" s="46">
        <f>J5*Supuestos!$E$30/12</f>
        <v/>
      </c>
      <c r="K11" s="46">
        <f>K5*Supuestos!$E$30/12</f>
        <v/>
      </c>
      <c r="L11" s="46">
        <f>L5*Supuestos!$E$30/12</f>
        <v/>
      </c>
      <c r="M11" s="46">
        <f>M5*Supuestos!$E$30/12</f>
        <v/>
      </c>
      <c r="N11" s="46">
        <f>N5*Supuestos!$E$30/12</f>
        <v/>
      </c>
      <c r="O11" s="46">
        <f>O5*Supuestos!$E$30/12</f>
        <v/>
      </c>
      <c r="P11" s="46">
        <f>P5*Supuestos!$E$30/12</f>
        <v/>
      </c>
      <c r="Q11" s="46">
        <f>Q5*Supuestos!$E$30/12</f>
        <v/>
      </c>
      <c r="R11" s="46">
        <f>R5*Supuestos!$E$30/12</f>
        <v/>
      </c>
      <c r="S11" s="46">
        <f>S5*Supuestos!$E$30/12</f>
        <v/>
      </c>
      <c r="T11" s="46">
        <f>T5*Supuestos!$E$30/12</f>
        <v/>
      </c>
      <c r="U11" s="46">
        <f>U5*Supuestos!$E$30/12</f>
        <v/>
      </c>
      <c r="V11" s="46">
        <f>V5*Supuestos!$E$30/12</f>
        <v/>
      </c>
      <c r="W11" s="46">
        <f>W5*Supuestos!$E$30/12</f>
        <v/>
      </c>
      <c r="X11" s="46">
        <f>X5*Supuestos!$E$30/12</f>
        <v/>
      </c>
      <c r="Y11" s="46">
        <f>Y5*Supuestos!$E$30/12</f>
        <v/>
      </c>
      <c r="Z11" s="46">
        <f>Z5*Supuestos!$E$30/12</f>
        <v/>
      </c>
      <c r="AA11" s="46">
        <f>AA5*Supuestos!$E$30/12</f>
        <v/>
      </c>
      <c r="AB11" s="46">
        <f>AB5*Supuestos!$E$30/12</f>
        <v/>
      </c>
      <c r="AC11" s="46">
        <f>AC5*Supuestos!$E$30/12</f>
        <v/>
      </c>
      <c r="AD11" s="46">
        <f>AD5*Supuestos!$E$30/12</f>
        <v/>
      </c>
      <c r="AE11" s="46">
        <f>AE5*Supuestos!$E$30/12</f>
        <v/>
      </c>
      <c r="AF11" s="46">
        <f>AF5*Supuestos!$E$30/12</f>
        <v/>
      </c>
      <c r="AG11" s="46">
        <f>AG5*Supuestos!$E$30/12</f>
        <v/>
      </c>
      <c r="AH11" s="46">
        <f>AH5*Supuestos!$E$30/12</f>
        <v/>
      </c>
      <c r="AI11" s="46">
        <f>AI5*Supuestos!$E$30/12</f>
        <v/>
      </c>
      <c r="AJ11" s="46">
        <f>AJ5*Supuestos!$E$30/12</f>
        <v/>
      </c>
      <c r="AK11" s="46">
        <f>AK5*Supuestos!$E$30/12</f>
        <v/>
      </c>
      <c r="AL11" s="46">
        <f>AL5*Supuestos!$E$30/12</f>
        <v/>
      </c>
    </row>
    <row r="12">
      <c r="A12" s="8" t="inlineStr">
        <is>
          <t>Siniestros con fallecidos</t>
        </is>
      </c>
      <c r="B12" s="46" t="n">
        <v>0</v>
      </c>
      <c r="C12" s="46">
        <f>C5*Supuestos!$E$31/12</f>
        <v/>
      </c>
      <c r="D12" s="46">
        <f>D5*Supuestos!$E$31/12</f>
        <v/>
      </c>
      <c r="E12" s="46">
        <f>E5*Supuestos!$E$31/12</f>
        <v/>
      </c>
      <c r="F12" s="46">
        <f>F5*Supuestos!$E$31/12</f>
        <v/>
      </c>
      <c r="G12" s="46">
        <f>G5*Supuestos!$E$31/12</f>
        <v/>
      </c>
      <c r="H12" s="46">
        <f>H5*Supuestos!$E$31/12</f>
        <v/>
      </c>
      <c r="I12" s="46">
        <f>I5*Supuestos!$E$31/12</f>
        <v/>
      </c>
      <c r="J12" s="46">
        <f>J5*Supuestos!$E$31/12</f>
        <v/>
      </c>
      <c r="K12" s="46">
        <f>K5*Supuestos!$E$31/12</f>
        <v/>
      </c>
      <c r="L12" s="46">
        <f>L5*Supuestos!$E$31/12</f>
        <v/>
      </c>
      <c r="M12" s="46">
        <f>M5*Supuestos!$E$31/12</f>
        <v/>
      </c>
      <c r="N12" s="46">
        <f>N5*Supuestos!$E$31/12</f>
        <v/>
      </c>
      <c r="O12" s="46">
        <f>O5*Supuestos!$E$31/12</f>
        <v/>
      </c>
      <c r="P12" s="46">
        <f>P5*Supuestos!$E$31/12</f>
        <v/>
      </c>
      <c r="Q12" s="46">
        <f>Q5*Supuestos!$E$31/12</f>
        <v/>
      </c>
      <c r="R12" s="46">
        <f>R5*Supuestos!$E$31/12</f>
        <v/>
      </c>
      <c r="S12" s="46">
        <f>S5*Supuestos!$E$31/12</f>
        <v/>
      </c>
      <c r="T12" s="46">
        <f>T5*Supuestos!$E$31/12</f>
        <v/>
      </c>
      <c r="U12" s="46">
        <f>U5*Supuestos!$E$31/12</f>
        <v/>
      </c>
      <c r="V12" s="46">
        <f>V5*Supuestos!$E$31/12</f>
        <v/>
      </c>
      <c r="W12" s="46">
        <f>W5*Supuestos!$E$31/12</f>
        <v/>
      </c>
      <c r="X12" s="46">
        <f>X5*Supuestos!$E$31/12</f>
        <v/>
      </c>
      <c r="Y12" s="46">
        <f>Y5*Supuestos!$E$31/12</f>
        <v/>
      </c>
      <c r="Z12" s="46">
        <f>Z5*Supuestos!$E$31/12</f>
        <v/>
      </c>
      <c r="AA12" s="46">
        <f>AA5*Supuestos!$E$31/12</f>
        <v/>
      </c>
      <c r="AB12" s="46">
        <f>AB5*Supuestos!$E$31/12</f>
        <v/>
      </c>
      <c r="AC12" s="46">
        <f>AC5*Supuestos!$E$31/12</f>
        <v/>
      </c>
      <c r="AD12" s="46">
        <f>AD5*Supuestos!$E$31/12</f>
        <v/>
      </c>
      <c r="AE12" s="46">
        <f>AE5*Supuestos!$E$31/12</f>
        <v/>
      </c>
      <c r="AF12" s="46">
        <f>AF5*Supuestos!$E$31/12</f>
        <v/>
      </c>
      <c r="AG12" s="46">
        <f>AG5*Supuestos!$E$31/12</f>
        <v/>
      </c>
      <c r="AH12" s="46">
        <f>AH5*Supuestos!$E$31/12</f>
        <v/>
      </c>
      <c r="AI12" s="46">
        <f>AI5*Supuestos!$E$31/12</f>
        <v/>
      </c>
      <c r="AJ12" s="46">
        <f>AJ5*Supuestos!$E$31/12</f>
        <v/>
      </c>
      <c r="AK12" s="46">
        <f>AK5*Supuestos!$E$31/12</f>
        <v/>
      </c>
      <c r="AL12" s="46">
        <f>AL5*Supuestos!$E$31/12</f>
        <v/>
      </c>
    </row>
    <row r="13">
      <c r="A13" s="8" t="inlineStr">
        <is>
          <t>Impugnaciones incluidas</t>
        </is>
      </c>
      <c r="B13" s="46" t="n">
        <v>0</v>
      </c>
      <c r="C13" s="46">
        <f>C5*Supuestos!$E$32/12</f>
        <v/>
      </c>
      <c r="D13" s="46">
        <f>D5*Supuestos!$E$32/12</f>
        <v/>
      </c>
      <c r="E13" s="46">
        <f>E5*Supuestos!$E$32/12</f>
        <v/>
      </c>
      <c r="F13" s="46">
        <f>F5*Supuestos!$E$32/12</f>
        <v/>
      </c>
      <c r="G13" s="46">
        <f>G5*Supuestos!$E$32/12</f>
        <v/>
      </c>
      <c r="H13" s="46">
        <f>H5*Supuestos!$E$32/12</f>
        <v/>
      </c>
      <c r="I13" s="46">
        <f>I5*Supuestos!$E$32/12</f>
        <v/>
      </c>
      <c r="J13" s="46">
        <f>J5*Supuestos!$E$32/12</f>
        <v/>
      </c>
      <c r="K13" s="46">
        <f>K5*Supuestos!$E$32/12</f>
        <v/>
      </c>
      <c r="L13" s="46">
        <f>L5*Supuestos!$E$32/12</f>
        <v/>
      </c>
      <c r="M13" s="46">
        <f>M5*Supuestos!$E$32/12</f>
        <v/>
      </c>
      <c r="N13" s="46">
        <f>N5*Supuestos!$E$32/12</f>
        <v/>
      </c>
      <c r="O13" s="46">
        <f>O5*Supuestos!$E$32/12</f>
        <v/>
      </c>
      <c r="P13" s="46">
        <f>P5*Supuestos!$E$32/12</f>
        <v/>
      </c>
      <c r="Q13" s="46">
        <f>Q5*Supuestos!$E$32/12</f>
        <v/>
      </c>
      <c r="R13" s="46">
        <f>R5*Supuestos!$E$32/12</f>
        <v/>
      </c>
      <c r="S13" s="46">
        <f>S5*Supuestos!$E$32/12</f>
        <v/>
      </c>
      <c r="T13" s="46">
        <f>T5*Supuestos!$E$32/12</f>
        <v/>
      </c>
      <c r="U13" s="46">
        <f>U5*Supuestos!$E$32/12</f>
        <v/>
      </c>
      <c r="V13" s="46">
        <f>V5*Supuestos!$E$32/12</f>
        <v/>
      </c>
      <c r="W13" s="46">
        <f>W5*Supuestos!$E$32/12</f>
        <v/>
      </c>
      <c r="X13" s="46">
        <f>X5*Supuestos!$E$32/12</f>
        <v/>
      </c>
      <c r="Y13" s="46">
        <f>Y5*Supuestos!$E$32/12</f>
        <v/>
      </c>
      <c r="Z13" s="46">
        <f>Z5*Supuestos!$E$32/12</f>
        <v/>
      </c>
      <c r="AA13" s="46">
        <f>AA5*Supuestos!$E$32/12</f>
        <v/>
      </c>
      <c r="AB13" s="46">
        <f>AB5*Supuestos!$E$32/12</f>
        <v/>
      </c>
      <c r="AC13" s="46">
        <f>AC5*Supuestos!$E$32/12</f>
        <v/>
      </c>
      <c r="AD13" s="46">
        <f>AD5*Supuestos!$E$32/12</f>
        <v/>
      </c>
      <c r="AE13" s="46">
        <f>AE5*Supuestos!$E$32/12</f>
        <v/>
      </c>
      <c r="AF13" s="46">
        <f>AF5*Supuestos!$E$32/12</f>
        <v/>
      </c>
      <c r="AG13" s="46">
        <f>AG5*Supuestos!$E$32/12</f>
        <v/>
      </c>
      <c r="AH13" s="46">
        <f>AH5*Supuestos!$E$32/12</f>
        <v/>
      </c>
      <c r="AI13" s="46">
        <f>AI5*Supuestos!$E$32/12</f>
        <v/>
      </c>
      <c r="AJ13" s="46">
        <f>AJ5*Supuestos!$E$32/12</f>
        <v/>
      </c>
      <c r="AK13" s="46">
        <f>AK5*Supuestos!$E$32/12</f>
        <v/>
      </c>
      <c r="AL13" s="46">
        <f>AL5*Supuestos!$E$32/12</f>
        <v/>
      </c>
    </row>
    <row r="14">
      <c r="A14" s="8" t="inlineStr">
        <is>
          <t>Impugnaciones adicionales</t>
        </is>
      </c>
      <c r="B14" s="46" t="n">
        <v>0</v>
      </c>
      <c r="C14" s="46">
        <f>C5*Supuestos!$E$33/12</f>
        <v/>
      </c>
      <c r="D14" s="46">
        <f>D5*Supuestos!$E$33/12</f>
        <v/>
      </c>
      <c r="E14" s="46">
        <f>E5*Supuestos!$E$33/12</f>
        <v/>
      </c>
      <c r="F14" s="46">
        <f>F5*Supuestos!$E$33/12</f>
        <v/>
      </c>
      <c r="G14" s="46">
        <f>G5*Supuestos!$E$33/12</f>
        <v/>
      </c>
      <c r="H14" s="46">
        <f>H5*Supuestos!$E$33/12</f>
        <v/>
      </c>
      <c r="I14" s="46">
        <f>I5*Supuestos!$E$33/12</f>
        <v/>
      </c>
      <c r="J14" s="46">
        <f>J5*Supuestos!$E$33/12</f>
        <v/>
      </c>
      <c r="K14" s="46">
        <f>K5*Supuestos!$E$33/12</f>
        <v/>
      </c>
      <c r="L14" s="46">
        <f>L5*Supuestos!$E$33/12</f>
        <v/>
      </c>
      <c r="M14" s="46">
        <f>M5*Supuestos!$E$33/12</f>
        <v/>
      </c>
      <c r="N14" s="46">
        <f>N5*Supuestos!$E$33/12</f>
        <v/>
      </c>
      <c r="O14" s="46">
        <f>O5*Supuestos!$E$33/12</f>
        <v/>
      </c>
      <c r="P14" s="46">
        <f>P5*Supuestos!$E$33/12</f>
        <v/>
      </c>
      <c r="Q14" s="46">
        <f>Q5*Supuestos!$E$33/12</f>
        <v/>
      </c>
      <c r="R14" s="46">
        <f>R5*Supuestos!$E$33/12</f>
        <v/>
      </c>
      <c r="S14" s="46">
        <f>S5*Supuestos!$E$33/12</f>
        <v/>
      </c>
      <c r="T14" s="46">
        <f>T5*Supuestos!$E$33/12</f>
        <v/>
      </c>
      <c r="U14" s="46">
        <f>U5*Supuestos!$E$33/12</f>
        <v/>
      </c>
      <c r="V14" s="46">
        <f>V5*Supuestos!$E$33/12</f>
        <v/>
      </c>
      <c r="W14" s="46">
        <f>W5*Supuestos!$E$33/12</f>
        <v/>
      </c>
      <c r="X14" s="46">
        <f>X5*Supuestos!$E$33/12</f>
        <v/>
      </c>
      <c r="Y14" s="46">
        <f>Y5*Supuestos!$E$33/12</f>
        <v/>
      </c>
      <c r="Z14" s="46">
        <f>Z5*Supuestos!$E$33/12</f>
        <v/>
      </c>
      <c r="AA14" s="46">
        <f>AA5*Supuestos!$E$33/12</f>
        <v/>
      </c>
      <c r="AB14" s="46">
        <f>AB5*Supuestos!$E$33/12</f>
        <v/>
      </c>
      <c r="AC14" s="46">
        <f>AC5*Supuestos!$E$33/12</f>
        <v/>
      </c>
      <c r="AD14" s="46">
        <f>AD5*Supuestos!$E$33/12</f>
        <v/>
      </c>
      <c r="AE14" s="46">
        <f>AE5*Supuestos!$E$33/12</f>
        <v/>
      </c>
      <c r="AF14" s="46">
        <f>AF5*Supuestos!$E$33/12</f>
        <v/>
      </c>
      <c r="AG14" s="46">
        <f>AG5*Supuestos!$E$33/12</f>
        <v/>
      </c>
      <c r="AH14" s="46">
        <f>AH5*Supuestos!$E$33/12</f>
        <v/>
      </c>
      <c r="AI14" s="46">
        <f>AI5*Supuestos!$E$33/12</f>
        <v/>
      </c>
      <c r="AJ14" s="46">
        <f>AJ5*Supuestos!$E$33/12</f>
        <v/>
      </c>
      <c r="AK14" s="46">
        <f>AK5*Supuestos!$E$33/12</f>
        <v/>
      </c>
      <c r="AL14" s="46">
        <f>AL5*Supuestos!$E$33/12</f>
        <v/>
      </c>
    </row>
    <row r="15">
      <c r="A15" s="8" t="inlineStr">
        <is>
          <t>Horas de abogado requeridas</t>
        </is>
      </c>
      <c r="B15" s="46" t="n">
        <v>0</v>
      </c>
      <c r="C15" s="46">
        <f>C4*Supuestos!$E$35+C10*Supuestos!$E$36+C11*Supuestos!$E$37+C12*Supuestos!$E$38+(C13+C14)*Supuestos!$E$39+C5*Supuestos!$E$40</f>
        <v/>
      </c>
      <c r="D15" s="46">
        <f>D4*Supuestos!$E$35+D10*Supuestos!$E$36+D11*Supuestos!$E$37+D12*Supuestos!$E$38+(D13+D14)*Supuestos!$E$39+D5*Supuestos!$E$40</f>
        <v/>
      </c>
      <c r="E15" s="46">
        <f>E4*Supuestos!$E$35+E10*Supuestos!$E$36+E11*Supuestos!$E$37+E12*Supuestos!$E$38+(E13+E14)*Supuestos!$E$39+E5*Supuestos!$E$40</f>
        <v/>
      </c>
      <c r="F15" s="46">
        <f>F4*Supuestos!$E$35+F10*Supuestos!$E$36+F11*Supuestos!$E$37+F12*Supuestos!$E$38+(F13+F14)*Supuestos!$E$39+F5*Supuestos!$E$40</f>
        <v/>
      </c>
      <c r="G15" s="46">
        <f>G4*Supuestos!$E$35+G10*Supuestos!$E$36+G11*Supuestos!$E$37+G12*Supuestos!$E$38+(G13+G14)*Supuestos!$E$39+G5*Supuestos!$E$40</f>
        <v/>
      </c>
      <c r="H15" s="46">
        <f>H4*Supuestos!$E$35+H10*Supuestos!$E$36+H11*Supuestos!$E$37+H12*Supuestos!$E$38+(H13+H14)*Supuestos!$E$39+H5*Supuestos!$E$40</f>
        <v/>
      </c>
      <c r="I15" s="46">
        <f>I4*Supuestos!$E$35+I10*Supuestos!$E$36+I11*Supuestos!$E$37+I12*Supuestos!$E$38+(I13+I14)*Supuestos!$E$39+I5*Supuestos!$E$40</f>
        <v/>
      </c>
      <c r="J15" s="46">
        <f>J4*Supuestos!$E$35+J10*Supuestos!$E$36+J11*Supuestos!$E$37+J12*Supuestos!$E$38+(J13+J14)*Supuestos!$E$39+J5*Supuestos!$E$40</f>
        <v/>
      </c>
      <c r="K15" s="46">
        <f>K4*Supuestos!$E$35+K10*Supuestos!$E$36+K11*Supuestos!$E$37+K12*Supuestos!$E$38+(K13+K14)*Supuestos!$E$39+K5*Supuestos!$E$40</f>
        <v/>
      </c>
      <c r="L15" s="46">
        <f>L4*Supuestos!$E$35+L10*Supuestos!$E$36+L11*Supuestos!$E$37+L12*Supuestos!$E$38+(L13+L14)*Supuestos!$E$39+L5*Supuestos!$E$40</f>
        <v/>
      </c>
      <c r="M15" s="46">
        <f>M4*Supuestos!$E$35+M10*Supuestos!$E$36+M11*Supuestos!$E$37+M12*Supuestos!$E$38+(M13+M14)*Supuestos!$E$39+M5*Supuestos!$E$40</f>
        <v/>
      </c>
      <c r="N15" s="46">
        <f>N4*Supuestos!$E$35+N10*Supuestos!$E$36+N11*Supuestos!$E$37+N12*Supuestos!$E$38+(N13+N14)*Supuestos!$E$39+N5*Supuestos!$E$40</f>
        <v/>
      </c>
      <c r="O15" s="46">
        <f>O4*Supuestos!$E$35+O10*Supuestos!$E$36+O11*Supuestos!$E$37+O12*Supuestos!$E$38+(O13+O14)*Supuestos!$E$39+O5*Supuestos!$E$40</f>
        <v/>
      </c>
      <c r="P15" s="46">
        <f>P4*Supuestos!$E$35+P10*Supuestos!$E$36+P11*Supuestos!$E$37+P12*Supuestos!$E$38+(P13+P14)*Supuestos!$E$39+P5*Supuestos!$E$40</f>
        <v/>
      </c>
      <c r="Q15" s="46">
        <f>Q4*Supuestos!$E$35+Q10*Supuestos!$E$36+Q11*Supuestos!$E$37+Q12*Supuestos!$E$38+(Q13+Q14)*Supuestos!$E$39+Q5*Supuestos!$E$40</f>
        <v/>
      </c>
      <c r="R15" s="46">
        <f>R4*Supuestos!$E$35+R10*Supuestos!$E$36+R11*Supuestos!$E$37+R12*Supuestos!$E$38+(R13+R14)*Supuestos!$E$39+R5*Supuestos!$E$40</f>
        <v/>
      </c>
      <c r="S15" s="46">
        <f>S4*Supuestos!$E$35+S10*Supuestos!$E$36+S11*Supuestos!$E$37+S12*Supuestos!$E$38+(S13+S14)*Supuestos!$E$39+S5*Supuestos!$E$40</f>
        <v/>
      </c>
      <c r="T15" s="46">
        <f>T4*Supuestos!$E$35+T10*Supuestos!$E$36+T11*Supuestos!$E$37+T12*Supuestos!$E$38+(T13+T14)*Supuestos!$E$39+T5*Supuestos!$E$40</f>
        <v/>
      </c>
      <c r="U15" s="46">
        <f>U4*Supuestos!$E$35+U10*Supuestos!$E$36+U11*Supuestos!$E$37+U12*Supuestos!$E$38+(U13+U14)*Supuestos!$E$39+U5*Supuestos!$E$40</f>
        <v/>
      </c>
      <c r="V15" s="46">
        <f>V4*Supuestos!$E$35+V10*Supuestos!$E$36+V11*Supuestos!$E$37+V12*Supuestos!$E$38+(V13+V14)*Supuestos!$E$39+V5*Supuestos!$E$40</f>
        <v/>
      </c>
      <c r="W15" s="46">
        <f>W4*Supuestos!$E$35+W10*Supuestos!$E$36+W11*Supuestos!$E$37+W12*Supuestos!$E$38+(W13+W14)*Supuestos!$E$39+W5*Supuestos!$E$40</f>
        <v/>
      </c>
      <c r="X15" s="46">
        <f>X4*Supuestos!$E$35+X10*Supuestos!$E$36+X11*Supuestos!$E$37+X12*Supuestos!$E$38+(X13+X14)*Supuestos!$E$39+X5*Supuestos!$E$40</f>
        <v/>
      </c>
      <c r="Y15" s="46">
        <f>Y4*Supuestos!$E$35+Y10*Supuestos!$E$36+Y11*Supuestos!$E$37+Y12*Supuestos!$E$38+(Y13+Y14)*Supuestos!$E$39+Y5*Supuestos!$E$40</f>
        <v/>
      </c>
      <c r="Z15" s="46">
        <f>Z4*Supuestos!$E$35+Z10*Supuestos!$E$36+Z11*Supuestos!$E$37+Z12*Supuestos!$E$38+(Z13+Z14)*Supuestos!$E$39+Z5*Supuestos!$E$40</f>
        <v/>
      </c>
      <c r="AA15" s="46">
        <f>AA4*Supuestos!$E$35+AA10*Supuestos!$E$36+AA11*Supuestos!$E$37+AA12*Supuestos!$E$38+(AA13+AA14)*Supuestos!$E$39+AA5*Supuestos!$E$40</f>
        <v/>
      </c>
      <c r="AB15" s="46">
        <f>AB4*Supuestos!$E$35+AB10*Supuestos!$E$36+AB11*Supuestos!$E$37+AB12*Supuestos!$E$38+(AB13+AB14)*Supuestos!$E$39+AB5*Supuestos!$E$40</f>
        <v/>
      </c>
      <c r="AC15" s="46">
        <f>AC4*Supuestos!$E$35+AC10*Supuestos!$E$36+AC11*Supuestos!$E$37+AC12*Supuestos!$E$38+(AC13+AC14)*Supuestos!$E$39+AC5*Supuestos!$E$40</f>
        <v/>
      </c>
      <c r="AD15" s="46">
        <f>AD4*Supuestos!$E$35+AD10*Supuestos!$E$36+AD11*Supuestos!$E$37+AD12*Supuestos!$E$38+(AD13+AD14)*Supuestos!$E$39+AD5*Supuestos!$E$40</f>
        <v/>
      </c>
      <c r="AE15" s="46">
        <f>AE4*Supuestos!$E$35+AE10*Supuestos!$E$36+AE11*Supuestos!$E$37+AE12*Supuestos!$E$38+(AE13+AE14)*Supuestos!$E$39+AE5*Supuestos!$E$40</f>
        <v/>
      </c>
      <c r="AF15" s="46">
        <f>AF4*Supuestos!$E$35+AF10*Supuestos!$E$36+AF11*Supuestos!$E$37+AF12*Supuestos!$E$38+(AF13+AF14)*Supuestos!$E$39+AF5*Supuestos!$E$40</f>
        <v/>
      </c>
      <c r="AG15" s="46">
        <f>AG4*Supuestos!$E$35+AG10*Supuestos!$E$36+AG11*Supuestos!$E$37+AG12*Supuestos!$E$38+(AG13+AG14)*Supuestos!$E$39+AG5*Supuestos!$E$40</f>
        <v/>
      </c>
      <c r="AH15" s="46">
        <f>AH4*Supuestos!$E$35+AH10*Supuestos!$E$36+AH11*Supuestos!$E$37+AH12*Supuestos!$E$38+(AH13+AH14)*Supuestos!$E$39+AH5*Supuestos!$E$40</f>
        <v/>
      </c>
      <c r="AI15" s="46">
        <f>AI4*Supuestos!$E$35+AI10*Supuestos!$E$36+AI11*Supuestos!$E$37+AI12*Supuestos!$E$38+(AI13+AI14)*Supuestos!$E$39+AI5*Supuestos!$E$40</f>
        <v/>
      </c>
      <c r="AJ15" s="46">
        <f>AJ4*Supuestos!$E$35+AJ10*Supuestos!$E$36+AJ11*Supuestos!$E$37+AJ12*Supuestos!$E$38+(AJ13+AJ14)*Supuestos!$E$39+AJ5*Supuestos!$E$40</f>
        <v/>
      </c>
      <c r="AK15" s="46">
        <f>AK4*Supuestos!$E$35+AK10*Supuestos!$E$36+AK11*Supuestos!$E$37+AK12*Supuestos!$E$38+(AK13+AK14)*Supuestos!$E$39+AK5*Supuestos!$E$40</f>
        <v/>
      </c>
      <c r="AL15" s="46">
        <f>AL4*Supuestos!$E$35+AL10*Supuestos!$E$36+AL11*Supuestos!$E$37+AL12*Supuestos!$E$38+(AL13+AL14)*Supuestos!$E$39+AL5*Supuestos!$E$40</f>
        <v/>
      </c>
    </row>
    <row r="16">
      <c r="A16" s="8" t="inlineStr">
        <is>
          <t>Abogados dedicados</t>
        </is>
      </c>
      <c r="B16" s="45" t="n">
        <v>0</v>
      </c>
      <c r="C16" s="45">
        <f>MAX(Supuestos!$E$48,ROUNDUP(C15/Supuestos!$E$47,0))</f>
        <v/>
      </c>
      <c r="D16" s="45">
        <f>MAX(Supuestos!$E$48,ROUNDUP(D15/Supuestos!$E$47,0))</f>
        <v/>
      </c>
      <c r="E16" s="45">
        <f>MAX(Supuestos!$E$48,ROUNDUP(E15/Supuestos!$E$47,0))</f>
        <v/>
      </c>
      <c r="F16" s="45">
        <f>MAX(Supuestos!$E$48,ROUNDUP(F15/Supuestos!$E$47,0))</f>
        <v/>
      </c>
      <c r="G16" s="45">
        <f>MAX(Supuestos!$E$48,ROUNDUP(G15/Supuestos!$E$47,0))</f>
        <v/>
      </c>
      <c r="H16" s="45">
        <f>MAX(Supuestos!$E$48,ROUNDUP(H15/Supuestos!$E$47,0))</f>
        <v/>
      </c>
      <c r="I16" s="45">
        <f>MAX(Supuestos!$E$48,ROUNDUP(I15/Supuestos!$E$47,0))</f>
        <v/>
      </c>
      <c r="J16" s="45">
        <f>MAX(Supuestos!$E$48,ROUNDUP(J15/Supuestos!$E$47,0))</f>
        <v/>
      </c>
      <c r="K16" s="45">
        <f>MAX(Supuestos!$E$48,ROUNDUP(K15/Supuestos!$E$47,0))</f>
        <v/>
      </c>
      <c r="L16" s="45">
        <f>MAX(Supuestos!$E$48,ROUNDUP(L15/Supuestos!$E$47,0))</f>
        <v/>
      </c>
      <c r="M16" s="45">
        <f>MAX(Supuestos!$E$48,ROUNDUP(M15/Supuestos!$E$47,0))</f>
        <v/>
      </c>
      <c r="N16" s="45">
        <f>MAX(Supuestos!$E$48,ROUNDUP(N15/Supuestos!$E$47,0))</f>
        <v/>
      </c>
      <c r="O16" s="45">
        <f>MAX(Supuestos!$E$48,ROUNDUP(O15/Supuestos!$E$47,0))</f>
        <v/>
      </c>
      <c r="P16" s="45">
        <f>MAX(Supuestos!$E$48,ROUNDUP(P15/Supuestos!$E$47,0))</f>
        <v/>
      </c>
      <c r="Q16" s="45">
        <f>MAX(Supuestos!$E$48,ROUNDUP(Q15/Supuestos!$E$47,0))</f>
        <v/>
      </c>
      <c r="R16" s="45">
        <f>MAX(Supuestos!$E$48,ROUNDUP(R15/Supuestos!$E$47,0))</f>
        <v/>
      </c>
      <c r="S16" s="45">
        <f>MAX(Supuestos!$E$48,ROUNDUP(S15/Supuestos!$E$47,0))</f>
        <v/>
      </c>
      <c r="T16" s="45">
        <f>MAX(Supuestos!$E$48,ROUNDUP(T15/Supuestos!$E$47,0))</f>
        <v/>
      </c>
      <c r="U16" s="45">
        <f>MAX(Supuestos!$E$48,ROUNDUP(U15/Supuestos!$E$47,0))</f>
        <v/>
      </c>
      <c r="V16" s="45">
        <f>MAX(Supuestos!$E$48,ROUNDUP(V15/Supuestos!$E$47,0))</f>
        <v/>
      </c>
      <c r="W16" s="45">
        <f>MAX(Supuestos!$E$48,ROUNDUP(W15/Supuestos!$E$47,0))</f>
        <v/>
      </c>
      <c r="X16" s="45">
        <f>MAX(Supuestos!$E$48,ROUNDUP(X15/Supuestos!$E$47,0))</f>
        <v/>
      </c>
      <c r="Y16" s="45">
        <f>MAX(Supuestos!$E$48,ROUNDUP(Y15/Supuestos!$E$47,0))</f>
        <v/>
      </c>
      <c r="Z16" s="45">
        <f>MAX(Supuestos!$E$48,ROUNDUP(Z15/Supuestos!$E$47,0))</f>
        <v/>
      </c>
      <c r="AA16" s="45">
        <f>MAX(Supuestos!$E$48,ROUNDUP(AA15/Supuestos!$E$47,0))</f>
        <v/>
      </c>
      <c r="AB16" s="45">
        <f>MAX(Supuestos!$E$48,ROUNDUP(AB15/Supuestos!$E$47,0))</f>
        <v/>
      </c>
      <c r="AC16" s="45">
        <f>MAX(Supuestos!$E$48,ROUNDUP(AC15/Supuestos!$E$47,0))</f>
        <v/>
      </c>
      <c r="AD16" s="45">
        <f>MAX(Supuestos!$E$48,ROUNDUP(AD15/Supuestos!$E$47,0))</f>
        <v/>
      </c>
      <c r="AE16" s="45">
        <f>MAX(Supuestos!$E$48,ROUNDUP(AE15/Supuestos!$E$47,0))</f>
        <v/>
      </c>
      <c r="AF16" s="45">
        <f>MAX(Supuestos!$E$48,ROUNDUP(AF15/Supuestos!$E$47,0))</f>
        <v/>
      </c>
      <c r="AG16" s="45">
        <f>MAX(Supuestos!$E$48,ROUNDUP(AG15/Supuestos!$E$47,0))</f>
        <v/>
      </c>
      <c r="AH16" s="45">
        <f>MAX(Supuestos!$E$48,ROUNDUP(AH15/Supuestos!$E$47,0))</f>
        <v/>
      </c>
      <c r="AI16" s="45">
        <f>MAX(Supuestos!$E$48,ROUNDUP(AI15/Supuestos!$E$47,0))</f>
        <v/>
      </c>
      <c r="AJ16" s="45">
        <f>MAX(Supuestos!$E$48,ROUNDUP(AJ15/Supuestos!$E$47,0))</f>
        <v/>
      </c>
      <c r="AK16" s="45">
        <f>MAX(Supuestos!$E$48,ROUNDUP(AK15/Supuestos!$E$47,0))</f>
        <v/>
      </c>
      <c r="AL16" s="45">
        <f>MAX(Supuestos!$E$48,ROUNDUP(AL15/Supuestos!$E$47,0))</f>
        <v/>
      </c>
    </row>
    <row r="17">
      <c r="A17" s="8" t="inlineStr">
        <is>
          <t>Costo de abogados</t>
        </is>
      </c>
      <c r="B17" s="13" t="n">
        <v>0</v>
      </c>
      <c r="C17" s="13">
        <f>C16*Supuestos!$E$46</f>
        <v/>
      </c>
      <c r="D17" s="13">
        <f>D16*Supuestos!$E$46</f>
        <v/>
      </c>
      <c r="E17" s="13">
        <f>E16*Supuestos!$E$46</f>
        <v/>
      </c>
      <c r="F17" s="13">
        <f>F16*Supuestos!$E$46</f>
        <v/>
      </c>
      <c r="G17" s="13">
        <f>G16*Supuestos!$E$46</f>
        <v/>
      </c>
      <c r="H17" s="13">
        <f>H16*Supuestos!$E$46</f>
        <v/>
      </c>
      <c r="I17" s="13">
        <f>I16*Supuestos!$E$46</f>
        <v/>
      </c>
      <c r="J17" s="13">
        <f>J16*Supuestos!$E$46</f>
        <v/>
      </c>
      <c r="K17" s="13">
        <f>K16*Supuestos!$E$46</f>
        <v/>
      </c>
      <c r="L17" s="13">
        <f>L16*Supuestos!$E$46</f>
        <v/>
      </c>
      <c r="M17" s="13">
        <f>M16*Supuestos!$E$46</f>
        <v/>
      </c>
      <c r="N17" s="13">
        <f>N16*Supuestos!$E$46</f>
        <v/>
      </c>
      <c r="O17" s="13">
        <f>O16*Supuestos!$E$46</f>
        <v/>
      </c>
      <c r="P17" s="13">
        <f>P16*Supuestos!$E$46</f>
        <v/>
      </c>
      <c r="Q17" s="13">
        <f>Q16*Supuestos!$E$46</f>
        <v/>
      </c>
      <c r="R17" s="13">
        <f>R16*Supuestos!$E$46</f>
        <v/>
      </c>
      <c r="S17" s="13">
        <f>S16*Supuestos!$E$46</f>
        <v/>
      </c>
      <c r="T17" s="13">
        <f>T16*Supuestos!$E$46</f>
        <v/>
      </c>
      <c r="U17" s="13">
        <f>U16*Supuestos!$E$46</f>
        <v/>
      </c>
      <c r="V17" s="13">
        <f>V16*Supuestos!$E$46</f>
        <v/>
      </c>
      <c r="W17" s="13">
        <f>W16*Supuestos!$E$46</f>
        <v/>
      </c>
      <c r="X17" s="13">
        <f>X16*Supuestos!$E$46</f>
        <v/>
      </c>
      <c r="Y17" s="13">
        <f>Y16*Supuestos!$E$46</f>
        <v/>
      </c>
      <c r="Z17" s="13">
        <f>Z16*Supuestos!$E$46</f>
        <v/>
      </c>
      <c r="AA17" s="13">
        <f>AA16*Supuestos!$E$46</f>
        <v/>
      </c>
      <c r="AB17" s="13">
        <f>AB16*Supuestos!$E$46</f>
        <v/>
      </c>
      <c r="AC17" s="13">
        <f>AC16*Supuestos!$E$46</f>
        <v/>
      </c>
      <c r="AD17" s="13">
        <f>AD16*Supuestos!$E$46</f>
        <v/>
      </c>
      <c r="AE17" s="13">
        <f>AE16*Supuestos!$E$46</f>
        <v/>
      </c>
      <c r="AF17" s="13">
        <f>AF16*Supuestos!$E$46</f>
        <v/>
      </c>
      <c r="AG17" s="13">
        <f>AG16*Supuestos!$E$46</f>
        <v/>
      </c>
      <c r="AH17" s="13">
        <f>AH16*Supuestos!$E$46</f>
        <v/>
      </c>
      <c r="AI17" s="13">
        <f>AI16*Supuestos!$E$46</f>
        <v/>
      </c>
      <c r="AJ17" s="13">
        <f>AJ16*Supuestos!$E$46</f>
        <v/>
      </c>
      <c r="AK17" s="13">
        <f>AK16*Supuestos!$E$46</f>
        <v/>
      </c>
      <c r="AL17" s="13">
        <f>AL16*Supuestos!$E$46</f>
        <v/>
      </c>
    </row>
    <row r="18">
      <c r="A18" s="8" t="inlineStr">
        <is>
          <t>Gastos directos de casos</t>
        </is>
      </c>
      <c r="B18" s="13" t="n">
        <v>0</v>
      </c>
      <c r="C18" s="13">
        <f>C10*Supuestos!$E$42+C11*Supuestos!$E$43+C12*Supuestos!$E$44</f>
        <v/>
      </c>
      <c r="D18" s="13">
        <f>D10*Supuestos!$E$42+D11*Supuestos!$E$43+D12*Supuestos!$E$44</f>
        <v/>
      </c>
      <c r="E18" s="13">
        <f>E10*Supuestos!$E$42+E11*Supuestos!$E$43+E12*Supuestos!$E$44</f>
        <v/>
      </c>
      <c r="F18" s="13">
        <f>F10*Supuestos!$E$42+F11*Supuestos!$E$43+F12*Supuestos!$E$44</f>
        <v/>
      </c>
      <c r="G18" s="13">
        <f>G10*Supuestos!$E$42+G11*Supuestos!$E$43+G12*Supuestos!$E$44</f>
        <v/>
      </c>
      <c r="H18" s="13">
        <f>H10*Supuestos!$E$42+H11*Supuestos!$E$43+H12*Supuestos!$E$44</f>
        <v/>
      </c>
      <c r="I18" s="13">
        <f>I10*Supuestos!$E$42+I11*Supuestos!$E$43+I12*Supuestos!$E$44</f>
        <v/>
      </c>
      <c r="J18" s="13">
        <f>J10*Supuestos!$E$42+J11*Supuestos!$E$43+J12*Supuestos!$E$44</f>
        <v/>
      </c>
      <c r="K18" s="13">
        <f>K10*Supuestos!$E$42+K11*Supuestos!$E$43+K12*Supuestos!$E$44</f>
        <v/>
      </c>
      <c r="L18" s="13">
        <f>L10*Supuestos!$E$42+L11*Supuestos!$E$43+L12*Supuestos!$E$44</f>
        <v/>
      </c>
      <c r="M18" s="13">
        <f>M10*Supuestos!$E$42+M11*Supuestos!$E$43+M12*Supuestos!$E$44</f>
        <v/>
      </c>
      <c r="N18" s="13">
        <f>N10*Supuestos!$E$42+N11*Supuestos!$E$43+N12*Supuestos!$E$44</f>
        <v/>
      </c>
      <c r="O18" s="13">
        <f>O10*Supuestos!$E$42+O11*Supuestos!$E$43+O12*Supuestos!$E$44</f>
        <v/>
      </c>
      <c r="P18" s="13">
        <f>P10*Supuestos!$E$42+P11*Supuestos!$E$43+P12*Supuestos!$E$44</f>
        <v/>
      </c>
      <c r="Q18" s="13">
        <f>Q10*Supuestos!$E$42+Q11*Supuestos!$E$43+Q12*Supuestos!$E$44</f>
        <v/>
      </c>
      <c r="R18" s="13">
        <f>R10*Supuestos!$E$42+R11*Supuestos!$E$43+R12*Supuestos!$E$44</f>
        <v/>
      </c>
      <c r="S18" s="13">
        <f>S10*Supuestos!$E$42+S11*Supuestos!$E$43+S12*Supuestos!$E$44</f>
        <v/>
      </c>
      <c r="T18" s="13">
        <f>T10*Supuestos!$E$42+T11*Supuestos!$E$43+T12*Supuestos!$E$44</f>
        <v/>
      </c>
      <c r="U18" s="13">
        <f>U10*Supuestos!$E$42+U11*Supuestos!$E$43+U12*Supuestos!$E$44</f>
        <v/>
      </c>
      <c r="V18" s="13">
        <f>V10*Supuestos!$E$42+V11*Supuestos!$E$43+V12*Supuestos!$E$44</f>
        <v/>
      </c>
      <c r="W18" s="13">
        <f>W10*Supuestos!$E$42+W11*Supuestos!$E$43+W12*Supuestos!$E$44</f>
        <v/>
      </c>
      <c r="X18" s="13">
        <f>X10*Supuestos!$E$42+X11*Supuestos!$E$43+X12*Supuestos!$E$44</f>
        <v/>
      </c>
      <c r="Y18" s="13">
        <f>Y10*Supuestos!$E$42+Y11*Supuestos!$E$43+Y12*Supuestos!$E$44</f>
        <v/>
      </c>
      <c r="Z18" s="13">
        <f>Z10*Supuestos!$E$42+Z11*Supuestos!$E$43+Z12*Supuestos!$E$44</f>
        <v/>
      </c>
      <c r="AA18" s="13">
        <f>AA10*Supuestos!$E$42+AA11*Supuestos!$E$43+AA12*Supuestos!$E$44</f>
        <v/>
      </c>
      <c r="AB18" s="13">
        <f>AB10*Supuestos!$E$42+AB11*Supuestos!$E$43+AB12*Supuestos!$E$44</f>
        <v/>
      </c>
      <c r="AC18" s="13">
        <f>AC10*Supuestos!$E$42+AC11*Supuestos!$E$43+AC12*Supuestos!$E$44</f>
        <v/>
      </c>
      <c r="AD18" s="13">
        <f>AD10*Supuestos!$E$42+AD11*Supuestos!$E$43+AD12*Supuestos!$E$44</f>
        <v/>
      </c>
      <c r="AE18" s="13">
        <f>AE10*Supuestos!$E$42+AE11*Supuestos!$E$43+AE12*Supuestos!$E$44</f>
        <v/>
      </c>
      <c r="AF18" s="13">
        <f>AF10*Supuestos!$E$42+AF11*Supuestos!$E$43+AF12*Supuestos!$E$44</f>
        <v/>
      </c>
      <c r="AG18" s="13">
        <f>AG10*Supuestos!$E$42+AG11*Supuestos!$E$43+AG12*Supuestos!$E$44</f>
        <v/>
      </c>
      <c r="AH18" s="13">
        <f>AH10*Supuestos!$E$42+AH11*Supuestos!$E$43+AH12*Supuestos!$E$44</f>
        <v/>
      </c>
      <c r="AI18" s="13">
        <f>AI10*Supuestos!$E$42+AI11*Supuestos!$E$43+AI12*Supuestos!$E$44</f>
        <v/>
      </c>
      <c r="AJ18" s="13">
        <f>AJ10*Supuestos!$E$42+AJ11*Supuestos!$E$43+AJ12*Supuestos!$E$44</f>
        <v/>
      </c>
      <c r="AK18" s="13">
        <f>AK10*Supuestos!$E$42+AK11*Supuestos!$E$43+AK12*Supuestos!$E$44</f>
        <v/>
      </c>
      <c r="AL18" s="13">
        <f>AL10*Supuestos!$E$42+AL11*Supuestos!$E$43+AL12*Supuestos!$E$44</f>
        <v/>
      </c>
    </row>
    <row r="19">
      <c r="A19" s="8" t="inlineStr">
        <is>
          <t>Costos fijos</t>
        </is>
      </c>
      <c r="B19" s="13" t="n">
        <v>0</v>
      </c>
      <c r="C19" s="13">
        <f>Supuestos!$E$49+Supuestos!$E$50+Supuestos!$E$51+Supuestos!$E$52+Supuestos!$E$53+Supuestos!$E$54+Supuestos!$E$55+Supuestos!$E$56</f>
        <v/>
      </c>
      <c r="D19" s="13">
        <f>Supuestos!$E$49+Supuestos!$E$50+Supuestos!$E$51+Supuestos!$E$52+Supuestos!$E$53+Supuestos!$E$54+Supuestos!$E$55+Supuestos!$E$56</f>
        <v/>
      </c>
      <c r="E19" s="13">
        <f>Supuestos!$E$49+Supuestos!$E$50+Supuestos!$E$51+Supuestos!$E$52+Supuestos!$E$53+Supuestos!$E$54+Supuestos!$E$55+Supuestos!$E$56</f>
        <v/>
      </c>
      <c r="F19" s="13">
        <f>Supuestos!$E$49+Supuestos!$E$50+Supuestos!$E$51+Supuestos!$E$52+Supuestos!$E$53+Supuestos!$E$54+Supuestos!$E$55+Supuestos!$E$56</f>
        <v/>
      </c>
      <c r="G19" s="13">
        <f>Supuestos!$E$49+Supuestos!$E$50+Supuestos!$E$51+Supuestos!$E$52+Supuestos!$E$53+Supuestos!$E$54+Supuestos!$E$55+Supuestos!$E$56</f>
        <v/>
      </c>
      <c r="H19" s="13">
        <f>Supuestos!$E$49+Supuestos!$E$50+Supuestos!$E$51+Supuestos!$E$52+Supuestos!$E$53+Supuestos!$E$54+Supuestos!$E$55+Supuestos!$E$56</f>
        <v/>
      </c>
      <c r="I19" s="13">
        <f>Supuestos!$E$49+Supuestos!$E$50+Supuestos!$E$51+Supuestos!$E$52+Supuestos!$E$53+Supuestos!$E$54+Supuestos!$E$55+Supuestos!$E$56</f>
        <v/>
      </c>
      <c r="J19" s="13">
        <f>Supuestos!$E$49+Supuestos!$E$50+Supuestos!$E$51+Supuestos!$E$52+Supuestos!$E$53+Supuestos!$E$54+Supuestos!$E$55+Supuestos!$E$56</f>
        <v/>
      </c>
      <c r="K19" s="13">
        <f>Supuestos!$E$49+Supuestos!$E$50+Supuestos!$E$51+Supuestos!$E$52+Supuestos!$E$53+Supuestos!$E$54+Supuestos!$E$55+Supuestos!$E$56</f>
        <v/>
      </c>
      <c r="L19" s="13">
        <f>Supuestos!$E$49+Supuestos!$E$50+Supuestos!$E$51+Supuestos!$E$52+Supuestos!$E$53+Supuestos!$E$54+Supuestos!$E$55+Supuestos!$E$56</f>
        <v/>
      </c>
      <c r="M19" s="13">
        <f>Supuestos!$E$49+Supuestos!$E$50+Supuestos!$E$51+Supuestos!$E$52+Supuestos!$E$53+Supuestos!$E$54+Supuestos!$E$55+Supuestos!$E$56</f>
        <v/>
      </c>
      <c r="N19" s="13">
        <f>Supuestos!$E$49+Supuestos!$E$50+Supuestos!$E$51+Supuestos!$E$52+Supuestos!$E$53+Supuestos!$E$54+Supuestos!$E$55+Supuestos!$E$56</f>
        <v/>
      </c>
      <c r="O19" s="13">
        <f>Supuestos!$E$49+Supuestos!$E$50+Supuestos!$E$51+Supuestos!$E$52+Supuestos!$E$53+Supuestos!$E$54+Supuestos!$E$55+Supuestos!$E$56</f>
        <v/>
      </c>
      <c r="P19" s="13">
        <f>Supuestos!$E$49+Supuestos!$E$50+Supuestos!$E$51+Supuestos!$E$52+Supuestos!$E$53+Supuestos!$E$54+Supuestos!$E$55+Supuestos!$E$56</f>
        <v/>
      </c>
      <c r="Q19" s="13">
        <f>Supuestos!$E$49+Supuestos!$E$50+Supuestos!$E$51+Supuestos!$E$52+Supuestos!$E$53+Supuestos!$E$54+Supuestos!$E$55+Supuestos!$E$56</f>
        <v/>
      </c>
      <c r="R19" s="13">
        <f>Supuestos!$E$49+Supuestos!$E$50+Supuestos!$E$51+Supuestos!$E$52+Supuestos!$E$53+Supuestos!$E$54+Supuestos!$E$55+Supuestos!$E$56</f>
        <v/>
      </c>
      <c r="S19" s="13">
        <f>Supuestos!$E$49+Supuestos!$E$50+Supuestos!$E$51+Supuestos!$E$52+Supuestos!$E$53+Supuestos!$E$54+Supuestos!$E$55+Supuestos!$E$56</f>
        <v/>
      </c>
      <c r="T19" s="13">
        <f>Supuestos!$E$49+Supuestos!$E$50+Supuestos!$E$51+Supuestos!$E$52+Supuestos!$E$53+Supuestos!$E$54+Supuestos!$E$55+Supuestos!$E$56</f>
        <v/>
      </c>
      <c r="U19" s="13">
        <f>Supuestos!$E$49+Supuestos!$E$50+Supuestos!$E$51+Supuestos!$E$52+Supuestos!$E$53+Supuestos!$E$54+Supuestos!$E$55+Supuestos!$E$56</f>
        <v/>
      </c>
      <c r="V19" s="13">
        <f>Supuestos!$E$49+Supuestos!$E$50+Supuestos!$E$51+Supuestos!$E$52+Supuestos!$E$53+Supuestos!$E$54+Supuestos!$E$55+Supuestos!$E$56</f>
        <v/>
      </c>
      <c r="W19" s="13">
        <f>Supuestos!$E$49+Supuestos!$E$50+Supuestos!$E$51+Supuestos!$E$52+Supuestos!$E$53+Supuestos!$E$54+Supuestos!$E$55+Supuestos!$E$56</f>
        <v/>
      </c>
      <c r="X19" s="13">
        <f>Supuestos!$E$49+Supuestos!$E$50+Supuestos!$E$51+Supuestos!$E$52+Supuestos!$E$53+Supuestos!$E$54+Supuestos!$E$55+Supuestos!$E$56</f>
        <v/>
      </c>
      <c r="Y19" s="13">
        <f>Supuestos!$E$49+Supuestos!$E$50+Supuestos!$E$51+Supuestos!$E$52+Supuestos!$E$53+Supuestos!$E$54+Supuestos!$E$55+Supuestos!$E$56</f>
        <v/>
      </c>
      <c r="Z19" s="13">
        <f>Supuestos!$E$49+Supuestos!$E$50+Supuestos!$E$51+Supuestos!$E$52+Supuestos!$E$53+Supuestos!$E$54+Supuestos!$E$55+Supuestos!$E$56</f>
        <v/>
      </c>
      <c r="AA19" s="13">
        <f>Supuestos!$E$49+Supuestos!$E$50+Supuestos!$E$51+Supuestos!$E$52+Supuestos!$E$53+Supuestos!$E$54+Supuestos!$E$55+Supuestos!$E$56</f>
        <v/>
      </c>
      <c r="AB19" s="13">
        <f>Supuestos!$E$49+Supuestos!$E$50+Supuestos!$E$51+Supuestos!$E$52+Supuestos!$E$53+Supuestos!$E$54+Supuestos!$E$55+Supuestos!$E$56</f>
        <v/>
      </c>
      <c r="AC19" s="13">
        <f>Supuestos!$E$49+Supuestos!$E$50+Supuestos!$E$51+Supuestos!$E$52+Supuestos!$E$53+Supuestos!$E$54+Supuestos!$E$55+Supuestos!$E$56</f>
        <v/>
      </c>
      <c r="AD19" s="13">
        <f>Supuestos!$E$49+Supuestos!$E$50+Supuestos!$E$51+Supuestos!$E$52+Supuestos!$E$53+Supuestos!$E$54+Supuestos!$E$55+Supuestos!$E$56</f>
        <v/>
      </c>
      <c r="AE19" s="13">
        <f>Supuestos!$E$49+Supuestos!$E$50+Supuestos!$E$51+Supuestos!$E$52+Supuestos!$E$53+Supuestos!$E$54+Supuestos!$E$55+Supuestos!$E$56</f>
        <v/>
      </c>
      <c r="AF19" s="13">
        <f>Supuestos!$E$49+Supuestos!$E$50+Supuestos!$E$51+Supuestos!$E$52+Supuestos!$E$53+Supuestos!$E$54+Supuestos!$E$55+Supuestos!$E$56</f>
        <v/>
      </c>
      <c r="AG19" s="13">
        <f>Supuestos!$E$49+Supuestos!$E$50+Supuestos!$E$51+Supuestos!$E$52+Supuestos!$E$53+Supuestos!$E$54+Supuestos!$E$55+Supuestos!$E$56</f>
        <v/>
      </c>
      <c r="AH19" s="13">
        <f>Supuestos!$E$49+Supuestos!$E$50+Supuestos!$E$51+Supuestos!$E$52+Supuestos!$E$53+Supuestos!$E$54+Supuestos!$E$55+Supuestos!$E$56</f>
        <v/>
      </c>
      <c r="AI19" s="13">
        <f>Supuestos!$E$49+Supuestos!$E$50+Supuestos!$E$51+Supuestos!$E$52+Supuestos!$E$53+Supuestos!$E$54+Supuestos!$E$55+Supuestos!$E$56</f>
        <v/>
      </c>
      <c r="AJ19" s="13">
        <f>Supuestos!$E$49+Supuestos!$E$50+Supuestos!$E$51+Supuestos!$E$52+Supuestos!$E$53+Supuestos!$E$54+Supuestos!$E$55+Supuestos!$E$56</f>
        <v/>
      </c>
      <c r="AK19" s="13">
        <f>Supuestos!$E$49+Supuestos!$E$50+Supuestos!$E$51+Supuestos!$E$52+Supuestos!$E$53+Supuestos!$E$54+Supuestos!$E$55+Supuestos!$E$56</f>
        <v/>
      </c>
      <c r="AL19" s="13">
        <f>Supuestos!$E$49+Supuestos!$E$50+Supuestos!$E$51+Supuestos!$E$52+Supuestos!$E$53+Supuestos!$E$54+Supuestos!$E$55+Supuestos!$E$56</f>
        <v/>
      </c>
    </row>
    <row r="20">
      <c r="A20" s="5" t="inlineStr">
        <is>
          <t>Resultado operativo (antes de impuestos)</t>
        </is>
      </c>
      <c r="B20" s="11" t="n">
        <v>0</v>
      </c>
      <c r="C20" s="11">
        <f>C8+C9-C17-C18-C19</f>
        <v/>
      </c>
      <c r="D20" s="11">
        <f>D8+D9-D17-D18-D19</f>
        <v/>
      </c>
      <c r="E20" s="11">
        <f>E8+E9-E17-E18-E19</f>
        <v/>
      </c>
      <c r="F20" s="11">
        <f>F8+F9-F17-F18-F19</f>
        <v/>
      </c>
      <c r="G20" s="11">
        <f>G8+G9-G17-G18-G19</f>
        <v/>
      </c>
      <c r="H20" s="11">
        <f>H8+H9-H17-H18-H19</f>
        <v/>
      </c>
      <c r="I20" s="11">
        <f>I8+I9-I17-I18-I19</f>
        <v/>
      </c>
      <c r="J20" s="11">
        <f>J8+J9-J17-J18-J19</f>
        <v/>
      </c>
      <c r="K20" s="11">
        <f>K8+K9-K17-K18-K19</f>
        <v/>
      </c>
      <c r="L20" s="11">
        <f>L8+L9-L17-L18-L19</f>
        <v/>
      </c>
      <c r="M20" s="11">
        <f>M8+M9-M17-M18-M19</f>
        <v/>
      </c>
      <c r="N20" s="11">
        <f>N8+N9-N17-N18-N19</f>
        <v/>
      </c>
      <c r="O20" s="11">
        <f>O8+O9-O17-O18-O19</f>
        <v/>
      </c>
      <c r="P20" s="11">
        <f>P8+P9-P17-P18-P19</f>
        <v/>
      </c>
      <c r="Q20" s="11">
        <f>Q8+Q9-Q17-Q18-Q19</f>
        <v/>
      </c>
      <c r="R20" s="11">
        <f>R8+R9-R17-R18-R19</f>
        <v/>
      </c>
      <c r="S20" s="11">
        <f>S8+S9-S17-S18-S19</f>
        <v/>
      </c>
      <c r="T20" s="11">
        <f>T8+T9-T17-T18-T19</f>
        <v/>
      </c>
      <c r="U20" s="11">
        <f>U8+U9-U17-U18-U19</f>
        <v/>
      </c>
      <c r="V20" s="11">
        <f>V8+V9-V17-V18-V19</f>
        <v/>
      </c>
      <c r="W20" s="11">
        <f>W8+W9-W17-W18-W19</f>
        <v/>
      </c>
      <c r="X20" s="11">
        <f>X8+X9-X17-X18-X19</f>
        <v/>
      </c>
      <c r="Y20" s="11">
        <f>Y8+Y9-Y17-Y18-Y19</f>
        <v/>
      </c>
      <c r="Z20" s="11">
        <f>Z8+Z9-Z17-Z18-Z19</f>
        <v/>
      </c>
      <c r="AA20" s="11">
        <f>AA8+AA9-AA17-AA18-AA19</f>
        <v/>
      </c>
      <c r="AB20" s="11">
        <f>AB8+AB9-AB17-AB18-AB19</f>
        <v/>
      </c>
      <c r="AC20" s="11">
        <f>AC8+AC9-AC17-AC18-AC19</f>
        <v/>
      </c>
      <c r="AD20" s="11">
        <f>AD8+AD9-AD17-AD18-AD19</f>
        <v/>
      </c>
      <c r="AE20" s="11">
        <f>AE8+AE9-AE17-AE18-AE19</f>
        <v/>
      </c>
      <c r="AF20" s="11">
        <f>AF8+AF9-AF17-AF18-AF19</f>
        <v/>
      </c>
      <c r="AG20" s="11">
        <f>AG8+AG9-AG17-AG18-AG19</f>
        <v/>
      </c>
      <c r="AH20" s="11">
        <f>AH8+AH9-AH17-AH18-AH19</f>
        <v/>
      </c>
      <c r="AI20" s="11">
        <f>AI8+AI9-AI17-AI18-AI19</f>
        <v/>
      </c>
      <c r="AJ20" s="11">
        <f>AJ8+AJ9-AJ17-AJ18-AJ19</f>
        <v/>
      </c>
      <c r="AK20" s="11">
        <f>AK8+AK9-AK17-AK18-AK19</f>
        <v/>
      </c>
      <c r="AL20" s="11">
        <f>AL8+AL9-AL17-AL18-AL19</f>
        <v/>
      </c>
    </row>
    <row r="21">
      <c r="A21" s="8" t="inlineStr">
        <is>
          <t>Impuestos y participación</t>
        </is>
      </c>
      <c r="B21" s="13" t="n">
        <v>0</v>
      </c>
      <c r="C21" s="13">
        <f>MAX(0,C20)*Supuestos!$E$59</f>
        <v/>
      </c>
      <c r="D21" s="13">
        <f>MAX(0,D20)*Supuestos!$E$59</f>
        <v/>
      </c>
      <c r="E21" s="13">
        <f>MAX(0,E20)*Supuestos!$E$59</f>
        <v/>
      </c>
      <c r="F21" s="13">
        <f>MAX(0,F20)*Supuestos!$E$59</f>
        <v/>
      </c>
      <c r="G21" s="13">
        <f>MAX(0,G20)*Supuestos!$E$59</f>
        <v/>
      </c>
      <c r="H21" s="13">
        <f>MAX(0,H20)*Supuestos!$E$59</f>
        <v/>
      </c>
      <c r="I21" s="13">
        <f>MAX(0,I20)*Supuestos!$E$59</f>
        <v/>
      </c>
      <c r="J21" s="13">
        <f>MAX(0,J20)*Supuestos!$E$59</f>
        <v/>
      </c>
      <c r="K21" s="13">
        <f>MAX(0,K20)*Supuestos!$E$59</f>
        <v/>
      </c>
      <c r="L21" s="13">
        <f>MAX(0,L20)*Supuestos!$E$59</f>
        <v/>
      </c>
      <c r="M21" s="13">
        <f>MAX(0,M20)*Supuestos!$E$59</f>
        <v/>
      </c>
      <c r="N21" s="13">
        <f>MAX(0,N20)*Supuestos!$E$59</f>
        <v/>
      </c>
      <c r="O21" s="13">
        <f>MAX(0,O20)*Supuestos!$E$59</f>
        <v/>
      </c>
      <c r="P21" s="13">
        <f>MAX(0,P20)*Supuestos!$E$59</f>
        <v/>
      </c>
      <c r="Q21" s="13">
        <f>MAX(0,Q20)*Supuestos!$E$59</f>
        <v/>
      </c>
      <c r="R21" s="13">
        <f>MAX(0,R20)*Supuestos!$E$59</f>
        <v/>
      </c>
      <c r="S21" s="13">
        <f>MAX(0,S20)*Supuestos!$E$59</f>
        <v/>
      </c>
      <c r="T21" s="13">
        <f>MAX(0,T20)*Supuestos!$E$59</f>
        <v/>
      </c>
      <c r="U21" s="13">
        <f>MAX(0,U20)*Supuestos!$E$59</f>
        <v/>
      </c>
      <c r="V21" s="13">
        <f>MAX(0,V20)*Supuestos!$E$59</f>
        <v/>
      </c>
      <c r="W21" s="13">
        <f>MAX(0,W20)*Supuestos!$E$59</f>
        <v/>
      </c>
      <c r="X21" s="13">
        <f>MAX(0,X20)*Supuestos!$E$59</f>
        <v/>
      </c>
      <c r="Y21" s="13">
        <f>MAX(0,Y20)*Supuestos!$E$59</f>
        <v/>
      </c>
      <c r="Z21" s="13">
        <f>MAX(0,Z20)*Supuestos!$E$59</f>
        <v/>
      </c>
      <c r="AA21" s="13">
        <f>MAX(0,AA20)*Supuestos!$E$59</f>
        <v/>
      </c>
      <c r="AB21" s="13">
        <f>MAX(0,AB20)*Supuestos!$E$59</f>
        <v/>
      </c>
      <c r="AC21" s="13">
        <f>MAX(0,AC20)*Supuestos!$E$59</f>
        <v/>
      </c>
      <c r="AD21" s="13">
        <f>MAX(0,AD20)*Supuestos!$E$59</f>
        <v/>
      </c>
      <c r="AE21" s="13">
        <f>MAX(0,AE20)*Supuestos!$E$59</f>
        <v/>
      </c>
      <c r="AF21" s="13">
        <f>MAX(0,AF20)*Supuestos!$E$59</f>
        <v/>
      </c>
      <c r="AG21" s="13">
        <f>MAX(0,AG20)*Supuestos!$E$59</f>
        <v/>
      </c>
      <c r="AH21" s="13">
        <f>MAX(0,AH20)*Supuestos!$E$59</f>
        <v/>
      </c>
      <c r="AI21" s="13">
        <f>MAX(0,AI20)*Supuestos!$E$59</f>
        <v/>
      </c>
      <c r="AJ21" s="13">
        <f>MAX(0,AJ20)*Supuestos!$E$59</f>
        <v/>
      </c>
      <c r="AK21" s="13">
        <f>MAX(0,AK20)*Supuestos!$E$59</f>
        <v/>
      </c>
      <c r="AL21" s="13">
        <f>MAX(0,AL20)*Supuestos!$E$59</f>
        <v/>
      </c>
    </row>
    <row r="22">
      <c r="A22" s="5" t="inlineStr">
        <is>
          <t>Flujo de caja neto</t>
        </is>
      </c>
      <c r="B22" s="11">
        <f>-Supuestos!$E$58</f>
        <v/>
      </c>
      <c r="C22" s="11">
        <f>C20-C21</f>
        <v/>
      </c>
      <c r="D22" s="11">
        <f>D20-D21</f>
        <v/>
      </c>
      <c r="E22" s="11">
        <f>E20-E21</f>
        <v/>
      </c>
      <c r="F22" s="11">
        <f>F20-F21</f>
        <v/>
      </c>
      <c r="G22" s="11">
        <f>G20-G21</f>
        <v/>
      </c>
      <c r="H22" s="11">
        <f>H20-H21</f>
        <v/>
      </c>
      <c r="I22" s="11">
        <f>I20-I21</f>
        <v/>
      </c>
      <c r="J22" s="11">
        <f>J20-J21</f>
        <v/>
      </c>
      <c r="K22" s="11">
        <f>K20-K21</f>
        <v/>
      </c>
      <c r="L22" s="11">
        <f>L20-L21</f>
        <v/>
      </c>
      <c r="M22" s="11">
        <f>M20-M21</f>
        <v/>
      </c>
      <c r="N22" s="11">
        <f>N20-N21</f>
        <v/>
      </c>
      <c r="O22" s="11">
        <f>O20-O21</f>
        <v/>
      </c>
      <c r="P22" s="11">
        <f>P20-P21</f>
        <v/>
      </c>
      <c r="Q22" s="11">
        <f>Q20-Q21</f>
        <v/>
      </c>
      <c r="R22" s="11">
        <f>R20-R21</f>
        <v/>
      </c>
      <c r="S22" s="11">
        <f>S20-S21</f>
        <v/>
      </c>
      <c r="T22" s="11">
        <f>T20-T21</f>
        <v/>
      </c>
      <c r="U22" s="11">
        <f>U20-U21</f>
        <v/>
      </c>
      <c r="V22" s="11">
        <f>V20-V21</f>
        <v/>
      </c>
      <c r="W22" s="11">
        <f>W20-W21</f>
        <v/>
      </c>
      <c r="X22" s="11">
        <f>X20-X21</f>
        <v/>
      </c>
      <c r="Y22" s="11">
        <f>Y20-Y21</f>
        <v/>
      </c>
      <c r="Z22" s="11">
        <f>Z20-Z21</f>
        <v/>
      </c>
      <c r="AA22" s="11">
        <f>AA20-AA21</f>
        <v/>
      </c>
      <c r="AB22" s="11">
        <f>AB20-AB21</f>
        <v/>
      </c>
      <c r="AC22" s="11">
        <f>AC20-AC21</f>
        <v/>
      </c>
      <c r="AD22" s="11">
        <f>AD20-AD21</f>
        <v/>
      </c>
      <c r="AE22" s="11">
        <f>AE20-AE21</f>
        <v/>
      </c>
      <c r="AF22" s="11">
        <f>AF20-AF21</f>
        <v/>
      </c>
      <c r="AG22" s="11">
        <f>AG20-AG21</f>
        <v/>
      </c>
      <c r="AH22" s="11">
        <f>AH20-AH21</f>
        <v/>
      </c>
      <c r="AI22" s="11">
        <f>AI20-AI21</f>
        <v/>
      </c>
      <c r="AJ22" s="11">
        <f>AJ20-AJ21</f>
        <v/>
      </c>
      <c r="AK22" s="11">
        <f>AK20-AK21</f>
        <v/>
      </c>
      <c r="AL22" s="11">
        <f>AL20-AL21</f>
        <v/>
      </c>
    </row>
    <row r="23">
      <c r="A23" s="5" t="inlineStr">
        <is>
          <t>Flujo acumulado</t>
        </is>
      </c>
      <c r="B23" s="11">
        <f>B22</f>
        <v/>
      </c>
      <c r="C23" s="11">
        <f>B23+C22</f>
        <v/>
      </c>
      <c r="D23" s="11">
        <f>C23+D22</f>
        <v/>
      </c>
      <c r="E23" s="11">
        <f>D23+E22</f>
        <v/>
      </c>
      <c r="F23" s="11">
        <f>E23+F22</f>
        <v/>
      </c>
      <c r="G23" s="11">
        <f>F23+G22</f>
        <v/>
      </c>
      <c r="H23" s="11">
        <f>G23+H22</f>
        <v/>
      </c>
      <c r="I23" s="11">
        <f>H23+I22</f>
        <v/>
      </c>
      <c r="J23" s="11">
        <f>I23+J22</f>
        <v/>
      </c>
      <c r="K23" s="11">
        <f>J23+K22</f>
        <v/>
      </c>
      <c r="L23" s="11">
        <f>K23+L22</f>
        <v/>
      </c>
      <c r="M23" s="11">
        <f>L23+M22</f>
        <v/>
      </c>
      <c r="N23" s="11">
        <f>M23+N22</f>
        <v/>
      </c>
      <c r="O23" s="11">
        <f>N23+O22</f>
        <v/>
      </c>
      <c r="P23" s="11">
        <f>O23+P22</f>
        <v/>
      </c>
      <c r="Q23" s="11">
        <f>P23+Q22</f>
        <v/>
      </c>
      <c r="R23" s="11">
        <f>Q23+R22</f>
        <v/>
      </c>
      <c r="S23" s="11">
        <f>R23+S22</f>
        <v/>
      </c>
      <c r="T23" s="11">
        <f>S23+T22</f>
        <v/>
      </c>
      <c r="U23" s="11">
        <f>T23+U22</f>
        <v/>
      </c>
      <c r="V23" s="11">
        <f>U23+V22</f>
        <v/>
      </c>
      <c r="W23" s="11">
        <f>V23+W22</f>
        <v/>
      </c>
      <c r="X23" s="11">
        <f>W23+X22</f>
        <v/>
      </c>
      <c r="Y23" s="11">
        <f>X23+Y22</f>
        <v/>
      </c>
      <c r="Z23" s="11">
        <f>Y23+Z22</f>
        <v/>
      </c>
      <c r="AA23" s="11">
        <f>Z23+AA22</f>
        <v/>
      </c>
      <c r="AB23" s="11">
        <f>AA23+AB22</f>
        <v/>
      </c>
      <c r="AC23" s="11">
        <f>AB23+AC22</f>
        <v/>
      </c>
      <c r="AD23" s="11">
        <f>AC23+AD22</f>
        <v/>
      </c>
      <c r="AE23" s="11">
        <f>AD23+AE22</f>
        <v/>
      </c>
      <c r="AF23" s="11">
        <f>AE23+AF22</f>
        <v/>
      </c>
      <c r="AG23" s="11">
        <f>AF23+AG22</f>
        <v/>
      </c>
      <c r="AH23" s="11">
        <f>AG23+AH22</f>
        <v/>
      </c>
      <c r="AI23" s="11">
        <f>AH23+AI22</f>
        <v/>
      </c>
      <c r="AJ23" s="11">
        <f>AI23+AJ22</f>
        <v/>
      </c>
      <c r="AK23" s="11">
        <f>AJ23+AK22</f>
        <v/>
      </c>
      <c r="AL23" s="11">
        <f>AK23+AL22</f>
        <v/>
      </c>
    </row>
    <row r="24">
      <c r="A24" s="8" t="inlineStr">
        <is>
          <t>Marca de recupero</t>
        </is>
      </c>
      <c r="B24" s="45">
        <f>""</f>
        <v/>
      </c>
      <c r="C24" s="45">
        <f>IF(AND(C23&gt;=0,B23&lt;0),C$3,"")</f>
        <v/>
      </c>
      <c r="D24" s="45">
        <f>IF(AND(D23&gt;=0,C23&lt;0),D$3,"")</f>
        <v/>
      </c>
      <c r="E24" s="45">
        <f>IF(AND(E23&gt;=0,D23&lt;0),E$3,"")</f>
        <v/>
      </c>
      <c r="F24" s="45">
        <f>IF(AND(F23&gt;=0,E23&lt;0),F$3,"")</f>
        <v/>
      </c>
      <c r="G24" s="45">
        <f>IF(AND(G23&gt;=0,F23&lt;0),G$3,"")</f>
        <v/>
      </c>
      <c r="H24" s="45">
        <f>IF(AND(H23&gt;=0,G23&lt;0),H$3,"")</f>
        <v/>
      </c>
      <c r="I24" s="45">
        <f>IF(AND(I23&gt;=0,H23&lt;0),I$3,"")</f>
        <v/>
      </c>
      <c r="J24" s="45">
        <f>IF(AND(J23&gt;=0,I23&lt;0),J$3,"")</f>
        <v/>
      </c>
      <c r="K24" s="45">
        <f>IF(AND(K23&gt;=0,J23&lt;0),K$3,"")</f>
        <v/>
      </c>
      <c r="L24" s="45">
        <f>IF(AND(L23&gt;=0,K23&lt;0),L$3,"")</f>
        <v/>
      </c>
      <c r="M24" s="45">
        <f>IF(AND(M23&gt;=0,L23&lt;0),M$3,"")</f>
        <v/>
      </c>
      <c r="N24" s="45">
        <f>IF(AND(N23&gt;=0,M23&lt;0),N$3,"")</f>
        <v/>
      </c>
      <c r="O24" s="45">
        <f>IF(AND(O23&gt;=0,N23&lt;0),O$3,"")</f>
        <v/>
      </c>
      <c r="P24" s="45">
        <f>IF(AND(P23&gt;=0,O23&lt;0),P$3,"")</f>
        <v/>
      </c>
      <c r="Q24" s="45">
        <f>IF(AND(Q23&gt;=0,P23&lt;0),Q$3,"")</f>
        <v/>
      </c>
      <c r="R24" s="45">
        <f>IF(AND(R23&gt;=0,Q23&lt;0),R$3,"")</f>
        <v/>
      </c>
      <c r="S24" s="45">
        <f>IF(AND(S23&gt;=0,R23&lt;0),S$3,"")</f>
        <v/>
      </c>
      <c r="T24" s="45">
        <f>IF(AND(T23&gt;=0,S23&lt;0),T$3,"")</f>
        <v/>
      </c>
      <c r="U24" s="45">
        <f>IF(AND(U23&gt;=0,T23&lt;0),U$3,"")</f>
        <v/>
      </c>
      <c r="V24" s="45">
        <f>IF(AND(V23&gt;=0,U23&lt;0),V$3,"")</f>
        <v/>
      </c>
      <c r="W24" s="45">
        <f>IF(AND(W23&gt;=0,V23&lt;0),W$3,"")</f>
        <v/>
      </c>
      <c r="X24" s="45">
        <f>IF(AND(X23&gt;=0,W23&lt;0),X$3,"")</f>
        <v/>
      </c>
      <c r="Y24" s="45">
        <f>IF(AND(Y23&gt;=0,X23&lt;0),Y$3,"")</f>
        <v/>
      </c>
      <c r="Z24" s="45">
        <f>IF(AND(Z23&gt;=0,Y23&lt;0),Z$3,"")</f>
        <v/>
      </c>
      <c r="AA24" s="45">
        <f>IF(AND(AA23&gt;=0,Z23&lt;0),AA$3,"")</f>
        <v/>
      </c>
      <c r="AB24" s="45">
        <f>IF(AND(AB23&gt;=0,AA23&lt;0),AB$3,"")</f>
        <v/>
      </c>
      <c r="AC24" s="45">
        <f>IF(AND(AC23&gt;=0,AB23&lt;0),AC$3,"")</f>
        <v/>
      </c>
      <c r="AD24" s="45">
        <f>IF(AND(AD23&gt;=0,AC23&lt;0),AD$3,"")</f>
        <v/>
      </c>
      <c r="AE24" s="45">
        <f>IF(AND(AE23&gt;=0,AD23&lt;0),AE$3,"")</f>
        <v/>
      </c>
      <c r="AF24" s="45">
        <f>IF(AND(AF23&gt;=0,AE23&lt;0),AF$3,"")</f>
        <v/>
      </c>
      <c r="AG24" s="45">
        <f>IF(AND(AG23&gt;=0,AF23&lt;0),AG$3,"")</f>
        <v/>
      </c>
      <c r="AH24" s="45">
        <f>IF(AND(AH23&gt;=0,AG23&lt;0),AH$3,"")</f>
        <v/>
      </c>
      <c r="AI24" s="45">
        <f>IF(AND(AI23&gt;=0,AH23&lt;0),AI$3,"")</f>
        <v/>
      </c>
      <c r="AJ24" s="45">
        <f>IF(AND(AJ23&gt;=0,AI23&lt;0),AJ$3,"")</f>
        <v/>
      </c>
      <c r="AK24" s="45">
        <f>IF(AND(AK23&gt;=0,AJ23&lt;0),AK$3,"")</f>
        <v/>
      </c>
      <c r="AL24" s="45">
        <f>IF(AND(AL23&gt;=0,AK23&lt;0),AL$3,"")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2026-10-07T22:48:48Z</dcterms:created>
  <dcterms:modified xsi:type="dcterms:W3CDTF">2026-10-07T22:50:15Z</dcterms:modified>
</cp:coreProperties>
</file>